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1715" windowHeight="9120"/>
  </bookViews>
  <sheets>
    <sheet name="&amp;Análise de Oferta x Realização" sheetId="1" r:id="rId1"/>
    <sheet name="Mozart Reports" sheetId="2" state="veryHidden" r:id="rId2"/>
    <sheet name="Plan1" sheetId="3" r:id="rId3"/>
    <sheet name="Plan2" sheetId="4" r:id="rId4"/>
  </sheets>
  <definedNames>
    <definedName name="_xlnm.Print_Area" localSheetId="0">'&amp;Análise de Oferta x Realização'!$A$1:$M$27</definedName>
    <definedName name="_xlnm.Print_Area" localSheetId="2">Plan1!$A$2:$M$14</definedName>
    <definedName name="_xlnm.Print_Area" localSheetId="3">Plan2!$A$2:$M$16</definedName>
  </definedNames>
  <calcPr calcId="145621"/>
</workbook>
</file>

<file path=xl/calcChain.xml><?xml version="1.0" encoding="utf-8"?>
<calcChain xmlns="http://schemas.openxmlformats.org/spreadsheetml/2006/main">
  <c r="H27" i="1" l="1"/>
  <c r="G15" i="4"/>
  <c r="H15" i="4" s="1"/>
  <c r="G14" i="4"/>
  <c r="H14" i="4" s="1"/>
  <c r="H16" i="4" s="1"/>
  <c r="G13" i="3"/>
  <c r="H13" i="3" s="1"/>
  <c r="H12" i="3"/>
  <c r="H14" i="3" s="1"/>
  <c r="G12" i="3"/>
  <c r="H22" i="1"/>
  <c r="H23" i="1"/>
  <c r="H24" i="1"/>
  <c r="H26" i="1"/>
  <c r="H25" i="1"/>
  <c r="G25" i="1"/>
  <c r="G26" i="1"/>
  <c r="G22" i="1"/>
  <c r="G23" i="1"/>
  <c r="G24" i="1"/>
</calcChain>
</file>

<file path=xl/sharedStrings.xml><?xml version="1.0" encoding="utf-8"?>
<sst xmlns="http://schemas.openxmlformats.org/spreadsheetml/2006/main" count="87" uniqueCount="47">
  <si>
    <t>Prestador</t>
  </si>
  <si>
    <t>Tipo de Recurso</t>
  </si>
  <si>
    <t>Unidade Atendimento</t>
  </si>
  <si>
    <t>Setor</t>
  </si>
  <si>
    <t>Data</t>
  </si>
  <si>
    <t>Métrica</t>
  </si>
  <si>
    <t>Qt Disponibilizado</t>
  </si>
  <si>
    <t>Qt Agendado Retorno</t>
  </si>
  <si>
    <t>Qt Realizado Retorno</t>
  </si>
  <si>
    <t>Qt Realizado Encaixe</t>
  </si>
  <si>
    <t>Qt Agendado 1ª Consulta</t>
  </si>
  <si>
    <t>Qt Realizado 1ª Consulta</t>
  </si>
  <si>
    <t>CAMILA MEDEIROS RYCEMBEL</t>
  </si>
  <si>
    <t>ESTADO</t>
  </si>
  <si>
    <t>HU 3 ANDAR CARDIO ESTADO</t>
  </si>
  <si>
    <t>AMBULATÓRIO HU</t>
  </si>
  <si>
    <t>07/04/2016</t>
  </si>
  <si>
    <t>14/04/2016</t>
  </si>
  <si>
    <t>28/04/2016</t>
  </si>
  <si>
    <t>Total</t>
  </si>
  <si>
    <t>05/04/2016</t>
  </si>
  <si>
    <t>12/04/2016</t>
  </si>
  <si>
    <t>19/04/2016</t>
  </si>
  <si>
    <t>26/04/2016</t>
  </si>
  <si>
    <t>MUNICÍPIO</t>
  </si>
  <si>
    <t>04/04/2016</t>
  </si>
  <si>
    <t>11/04/2016</t>
  </si>
  <si>
    <t>18/04/2016</t>
  </si>
  <si>
    <t>25/04/2016</t>
  </si>
  <si>
    <t>LUCIANO AUGUSTO MOOJEN</t>
  </si>
  <si>
    <t>HU 3 ANDAR CARDIO ASSIST</t>
  </si>
  <si>
    <t>06/04/2016</t>
  </si>
  <si>
    <t>13/04/2016</t>
  </si>
  <si>
    <t>20/04/2016</t>
  </si>
  <si>
    <t>27/04/2016</t>
  </si>
  <si>
    <t>RAFAEL LUIZ RECH</t>
  </si>
  <si>
    <t>HU 3 ANDAR CARDIO RECK ASSIS</t>
  </si>
  <si>
    <t>1</t>
  </si>
  <si>
    <t>562BA0124A6084B8CB97C39A0E85180D</t>
  </si>
  <si>
    <t>&lt;mi app="e" ver="19"&gt;
 &lt;rptloc guid="562BA0124A6084B8CB97C39A0E85180D"&gt;&lt;ri name="&amp;ampAnálise de Oferta x Realização - Agendamento - Serviços Ambulatoriais v2" id="02B2456948237146928B8897598221F6" path="\Saúde Pública\Objetos públicos\Relatórios\02. DESENVOLVIMENTO\Grezzana\SSMD - SAÚDE PÚBLICA\SSMD - ESPECÍFICOS\HU - Hosp. Universitário\&amp;ampAnálise de Oferta x Realização - Agendamento - Serviços Ambulatoriais v2" hasPG="1" prompt="1"&gt;&lt;ci ps="Export Engine" srv="HMD-BI02" prj="Saúde Pública" prjid="094CB45E4962CAA0B21E91980AAC8879" li="hmdbissmd" am="s" /&gt;&lt;lu ut="03/05/2016 19:21:11" si="" msgID="" /&gt;&lt;/ri&gt;&lt;do pa="6" cdf="0" ab="0" dcom="0" oaw="1" phdr="1" rafg="1" cwd="2" saf="1" om="1" don="1" tws="0"  dai="1" cit="0" glo="11110"&gt;&lt;details dbit="11169976358211" dsel="37" /&gt; &lt;/do&gt;&lt;export pgopt="DEFAULT" /&gt;&lt;pgs&gt;&lt;pg rows="0" cols="0" nrr="0" nrc="0"&gt;&lt;pg&gt;&lt;attEl aeid="BB:E51F5125491DE11256CFC1B4FA60ED8A:1:2:0:2:1:3:11:HU" aedn="HU" aen="Empresa"/&gt;&lt;attEl aeid="BB:25039369464225C7FFE8C18B29C8B543:1:1:0:2:2016" aedn="2016" aen="Ano"/&gt;&lt;attEl aeid="BB:9F1D2B854B3B4BF02008EB97CB7B9C34:1:2:0:2:1:3:201604:04/2016" aedn="04/2016" aen="Mês"/&gt;&lt;attEl aeid="BB:11B5302647618FA6D0631ABC1A8EEAED:1:2:0:2:1:3:9:CARDIOLOGIA" aedn="CARDIOLOGIA" aen="Especialidade"/&gt;&lt;/pg&gt;&lt;bls&gt;&lt;bl sr="-1" sc="-1" rfetch="0" cfetch="0" posid="1" darows="11" dacols="1"&gt;&lt;excel&gt;&lt;epo ews="&amp;ampAnálise de Oferta x Realização" ece="A1" ptn="" rows="112" cols="12" /&gt;&lt;chart cn="Picture 1" ect="0" ecl="0" ech="1010708258" ecw="942940733"/&gt;&lt;esdo ews="ChartData" ece="A1" ptn="" /&gt;&lt;/excel&gt;&lt;gridRng&gt;&lt;sect id="TITLE_AREA" rngprop="1:1:1:6"/&gt;&lt;sect id="ROWHEADERS_AREA" rngprop="2:1:100:6"/&gt;&lt;sect id="COLUMNHEADERS_AREA" rngprop="1:7:1:6"/&gt;&lt;sect id="DATA_AREA" rngprop="2:7:100:6"/&gt;&lt;/gridRng&gt;&lt;shapes/&gt;&lt;/bl&gt;&lt;/bls&gt;&lt;/pg&gt;&lt;/pgs&gt;&lt;/rptloc&gt; &lt;/mi&gt;</t>
  </si>
  <si>
    <t>turno 2h (10 pcts)</t>
  </si>
  <si>
    <t>turno 4h (25 pcts)</t>
  </si>
  <si>
    <t>turno 4h (31 pcts)</t>
  </si>
  <si>
    <t>turno 4h (29 pcts)</t>
  </si>
  <si>
    <t>turno 2h (7 pcts)</t>
  </si>
  <si>
    <t>TURNOS</t>
  </si>
  <si>
    <t>AMBULATÓRIO DE CARDIOLOGIA - ABRIL/2016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</si>
</sst>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#,##0;\(#,##0\)"/>
  </numFmts>
  <fonts count="10" x14ac:knownFonts="1">
    <font>
      <sz val="10"/>
      <color rgb="FF000000"/>
      <name val="Arial"/>
    </font>
    <font>
      <sz val="8"/>
      <color rgb="FF000000"/>
      <name val="Verdana"/>
    </font>
    <font>
      <b/>
      <sz val="8"/>
      <color rgb="FF333333"/>
      <name val="Verdana"/>
    </font>
    <font>
      <b/>
      <sz val="8"/>
      <color rgb="FFFFFFFF"/>
      <name val="Verdana"/>
    </font>
    <font>
      <b/>
      <sz val="10"/>
      <color rgb="FF000000"/>
      <name val="Arial"/>
      <family val="2"/>
    </font>
    <font>
      <b/>
      <sz val="8"/>
      <color rgb="FFFFFFFF"/>
      <name val="Verdana"/>
      <family val="2"/>
    </font>
    <font>
      <b/>
      <sz val="8"/>
      <color rgb="FF333333"/>
      <name val="Verdana"/>
      <family val="2"/>
    </font>
    <font>
      <b/>
      <sz val="8"/>
      <color rgb="FF000000"/>
      <name val="Verdana"/>
      <family val="2"/>
    </font>
    <font>
      <sz val="10"/>
      <color rgb="FF000000"/>
      <name val="Arial"/>
      <family val="2"/>
    </font>
    <font>
      <b/>
      <i/>
      <sz val="14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CC087"/>
      </patternFill>
    </fill>
    <fill>
      <patternFill patternType="solid">
        <fgColor rgb="FFD0DBBB"/>
      </patternFill>
    </fill>
    <fill>
      <patternFill patternType="solid">
        <fgColor rgb="FFDBDBDB"/>
      </patternFill>
    </fill>
    <fill>
      <gradientFill degree="90">
        <stop position="0">
          <color rgb="FF737373"/>
        </stop>
        <stop position="1">
          <color rgb="FF333333"/>
        </stop>
      </gradientFill>
    </fill>
    <fill>
      <gradientFill degree="90">
        <stop position="0">
          <color rgb="FF7B7B7B"/>
        </stop>
        <stop position="1">
          <color rgb="FF393939"/>
        </stop>
      </gradient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/>
      <bottom style="thin">
        <color rgb="FFF5F5F2"/>
      </bottom>
      <diagonal/>
    </border>
    <border>
      <left style="thin">
        <color rgb="FFEDEDED"/>
      </left>
      <right/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F5F5F2"/>
      </left>
      <right/>
      <top/>
      <bottom style="thin">
        <color rgb="FFF5F5F2"/>
      </bottom>
      <diagonal/>
    </border>
    <border>
      <left style="thin">
        <color rgb="FFFFFFFF"/>
      </left>
      <right/>
      <top/>
      <bottom style="thin">
        <color rgb="FFEDEDED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EDEDED"/>
      </right>
      <top/>
      <bottom style="thin">
        <color rgb="FFEDEDED"/>
      </bottom>
      <diagonal/>
    </border>
    <border>
      <left style="thin">
        <color rgb="FFFFFFFF"/>
      </left>
      <right style="thin">
        <color rgb="FFEDEDED"/>
      </right>
      <top/>
      <bottom style="thin">
        <color rgb="FFFFFFFF"/>
      </bottom>
      <diagonal/>
    </border>
    <border>
      <left/>
      <right/>
      <top/>
      <bottom style="thin">
        <color rgb="FFEDEDE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4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</cellStyleXfs>
  <cellXfs count="31">
    <xf numFmtId="0" fontId="0" fillId="0" borderId="0" xfId="0"/>
    <xf numFmtId="0" fontId="3" fillId="6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left" vertical="center" wrapText="1"/>
    </xf>
    <xf numFmtId="164" fontId="2" fillId="2" borderId="9" xfId="0" applyNumberFormat="1" applyFont="1" applyFill="1" applyBorder="1" applyAlignment="1">
      <alignment horizontal="right" vertical="center"/>
    </xf>
    <xf numFmtId="164" fontId="2" fillId="2" borderId="1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4" fontId="1" fillId="3" borderId="5" xfId="0" applyNumberFormat="1" applyFont="1" applyFill="1" applyBorder="1" applyAlignment="1">
      <alignment horizontal="right" vertical="center"/>
    </xf>
    <xf numFmtId="164" fontId="2" fillId="2" borderId="8" xfId="0" applyNumberFormat="1" applyFont="1" applyFill="1" applyBorder="1" applyAlignment="1">
      <alignment horizontal="right" vertical="center"/>
    </xf>
    <xf numFmtId="164" fontId="2" fillId="2" borderId="10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164" fontId="6" fillId="2" borderId="11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164" fontId="6" fillId="2" borderId="10" xfId="0" applyNumberFormat="1" applyFont="1" applyFill="1" applyBorder="1" applyAlignment="1">
      <alignment horizontal="center" vertical="center"/>
    </xf>
    <xf numFmtId="0" fontId="8" fillId="0" borderId="0" xfId="7"/>
    <xf numFmtId="0" fontId="4" fillId="0" borderId="13" xfId="11" applyFont="1" applyBorder="1" applyAlignment="1">
      <alignment horizontal="center" vertical="center"/>
    </xf>
    <xf numFmtId="8" fontId="8" fillId="0" borderId="13" xfId="11" applyNumberFormat="1" applyBorder="1" applyAlignment="1">
      <alignment horizontal="center" vertical="center"/>
    </xf>
    <xf numFmtId="0" fontId="8" fillId="0" borderId="13" xfId="11" applyBorder="1" applyAlignment="1">
      <alignment horizontal="left" vertical="center"/>
    </xf>
    <xf numFmtId="8" fontId="8" fillId="0" borderId="0" xfId="7" applyNumberFormat="1"/>
    <xf numFmtId="44" fontId="8" fillId="0" borderId="13" xfId="8" applyFont="1" applyBorder="1" applyAlignment="1">
      <alignment horizontal="center" vertical="center"/>
    </xf>
    <xf numFmtId="44" fontId="4" fillId="7" borderId="14" xfId="11" applyNumberFormat="1" applyFont="1" applyFill="1" applyBorder="1"/>
    <xf numFmtId="8" fontId="0" fillId="0" borderId="0" xfId="0" applyNumberFormat="1"/>
    <xf numFmtId="0" fontId="9" fillId="0" borderId="12" xfId="0" applyFont="1" applyBorder="1" applyAlignment="1">
      <alignment horizontal="center"/>
    </xf>
    <xf numFmtId="14" fontId="2" fillId="4" borderId="3" xfId="0" applyNumberFormat="1" applyFont="1" applyFill="1" applyBorder="1" applyAlignment="1">
      <alignment horizontal="left" vertical="center" wrapText="1"/>
    </xf>
    <xf numFmtId="14" fontId="2" fillId="4" borderId="7" xfId="0" applyNumberFormat="1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</cellXfs>
  <cellStyles count="13">
    <cellStyle name="Moeda 2" xfId="8"/>
    <cellStyle name="Moeda 3" xfId="6"/>
    <cellStyle name="Normal" xfId="0" builtinId="0"/>
    <cellStyle name="Normal 10" xfId="2"/>
    <cellStyle name="Normal 11" xfId="1"/>
    <cellStyle name="Normal 2" xfId="12"/>
    <cellStyle name="Normal 3" xfId="11"/>
    <cellStyle name="Normal 4" xfId="10"/>
    <cellStyle name="Normal 5" xfId="9"/>
    <cellStyle name="Normal 6" xfId="7"/>
    <cellStyle name="Normal 7" xfId="5"/>
    <cellStyle name="Normal 8" xfId="4"/>
    <cellStyle name="Normal 9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M27"/>
  <sheetViews>
    <sheetView showGridLines="0" tabSelected="1" topLeftCell="A4" workbookViewId="0">
      <selection activeCell="M23" sqref="M23"/>
    </sheetView>
  </sheetViews>
  <sheetFormatPr defaultRowHeight="12.75" outlineLevelRow="4" x14ac:dyDescent="0.2"/>
  <cols>
    <col min="6" max="6" width="15.7109375" bestFit="1" customWidth="1"/>
    <col min="7" max="7" width="9.42578125" bestFit="1" customWidth="1"/>
    <col min="8" max="8" width="13.28515625" bestFit="1" customWidth="1"/>
    <col min="13" max="13" width="9.140625" style="12"/>
  </cols>
  <sheetData>
    <row r="1" spans="1:13" ht="18.75" x14ac:dyDescent="0.3">
      <c r="A1" s="25" t="s">
        <v>46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42.7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4" t="s">
        <v>11</v>
      </c>
      <c r="M2" s="13" t="s">
        <v>45</v>
      </c>
    </row>
    <row r="3" spans="1:13" x14ac:dyDescent="0.2">
      <c r="A3" s="29" t="s">
        <v>35</v>
      </c>
      <c r="B3" s="29"/>
      <c r="C3" s="29"/>
      <c r="D3" s="29"/>
      <c r="E3" s="29"/>
      <c r="F3" s="29"/>
      <c r="G3" s="6">
        <v>340</v>
      </c>
      <c r="H3" s="6">
        <v>295</v>
      </c>
      <c r="I3" s="6">
        <v>14</v>
      </c>
      <c r="J3" s="6">
        <v>1</v>
      </c>
      <c r="K3" s="6">
        <v>92</v>
      </c>
      <c r="L3" s="7">
        <v>4</v>
      </c>
      <c r="M3" s="14"/>
    </row>
    <row r="4" spans="1:13" outlineLevel="1" x14ac:dyDescent="0.2">
      <c r="A4" s="5"/>
      <c r="B4" s="30" t="s">
        <v>24</v>
      </c>
      <c r="C4" s="30"/>
      <c r="D4" s="30"/>
      <c r="E4" s="30"/>
      <c r="F4" s="30"/>
      <c r="G4" s="6">
        <v>340</v>
      </c>
      <c r="H4" s="6">
        <v>295</v>
      </c>
      <c r="I4" s="6">
        <v>14</v>
      </c>
      <c r="J4" s="6">
        <v>1</v>
      </c>
      <c r="K4" s="6">
        <v>92</v>
      </c>
      <c r="L4" s="7">
        <v>4</v>
      </c>
      <c r="M4" s="14"/>
    </row>
    <row r="5" spans="1:13" outlineLevel="2" x14ac:dyDescent="0.2">
      <c r="A5" s="29"/>
      <c r="B5" s="29"/>
      <c r="C5" s="30" t="s">
        <v>36</v>
      </c>
      <c r="D5" s="30"/>
      <c r="E5" s="30"/>
      <c r="F5" s="30"/>
      <c r="G5" s="6">
        <v>340</v>
      </c>
      <c r="H5" s="6">
        <v>295</v>
      </c>
      <c r="I5" s="6">
        <v>14</v>
      </c>
      <c r="J5" s="6">
        <v>1</v>
      </c>
      <c r="K5" s="6">
        <v>92</v>
      </c>
      <c r="L5" s="7">
        <v>4</v>
      </c>
      <c r="M5" s="14"/>
    </row>
    <row r="6" spans="1:13" outlineLevel="3" x14ac:dyDescent="0.2">
      <c r="A6" s="29"/>
      <c r="B6" s="29"/>
      <c r="C6" s="29"/>
      <c r="D6" s="30" t="s">
        <v>15</v>
      </c>
      <c r="E6" s="30"/>
      <c r="F6" s="30"/>
      <c r="G6" s="6">
        <v>340</v>
      </c>
      <c r="H6" s="6">
        <v>295</v>
      </c>
      <c r="I6" s="6">
        <v>14</v>
      </c>
      <c r="J6" s="6">
        <v>1</v>
      </c>
      <c r="K6" s="6">
        <v>92</v>
      </c>
      <c r="L6" s="7">
        <v>4</v>
      </c>
      <c r="M6" s="14"/>
    </row>
    <row r="7" spans="1:13" outlineLevel="4" x14ac:dyDescent="0.2">
      <c r="A7" s="26"/>
      <c r="B7" s="26"/>
      <c r="C7" s="26"/>
      <c r="D7" s="26"/>
      <c r="E7" s="27" t="s">
        <v>25</v>
      </c>
      <c r="F7" s="27"/>
      <c r="G7" s="8">
        <v>29</v>
      </c>
      <c r="H7" s="8">
        <v>27</v>
      </c>
      <c r="I7" s="8">
        <v>1</v>
      </c>
      <c r="J7" s="8">
        <v>0</v>
      </c>
      <c r="K7" s="8">
        <v>5</v>
      </c>
      <c r="L7" s="9">
        <v>0</v>
      </c>
      <c r="M7" s="15">
        <v>1</v>
      </c>
    </row>
    <row r="8" spans="1:13" outlineLevel="4" x14ac:dyDescent="0.2">
      <c r="A8" s="26"/>
      <c r="B8" s="26"/>
      <c r="C8" s="26"/>
      <c r="D8" s="26"/>
      <c r="E8" s="27" t="s">
        <v>20</v>
      </c>
      <c r="F8" s="27"/>
      <c r="G8" s="8">
        <v>25</v>
      </c>
      <c r="H8" s="8">
        <v>27</v>
      </c>
      <c r="I8" s="8">
        <v>1</v>
      </c>
      <c r="J8" s="8">
        <v>0</v>
      </c>
      <c r="K8" s="8">
        <v>5</v>
      </c>
      <c r="L8" s="9">
        <v>0</v>
      </c>
      <c r="M8" s="15">
        <v>2</v>
      </c>
    </row>
    <row r="9" spans="1:13" outlineLevel="4" x14ac:dyDescent="0.2">
      <c r="A9" s="26"/>
      <c r="B9" s="26"/>
      <c r="C9" s="26"/>
      <c r="D9" s="26"/>
      <c r="E9" s="27" t="s">
        <v>31</v>
      </c>
      <c r="F9" s="27"/>
      <c r="G9" s="8">
        <v>31</v>
      </c>
      <c r="H9" s="8">
        <v>22</v>
      </c>
      <c r="I9" s="8">
        <v>0</v>
      </c>
      <c r="J9" s="8">
        <v>0</v>
      </c>
      <c r="K9" s="8">
        <v>14</v>
      </c>
      <c r="L9" s="9">
        <v>1</v>
      </c>
      <c r="M9" s="15">
        <v>3</v>
      </c>
    </row>
    <row r="10" spans="1:13" outlineLevel="4" x14ac:dyDescent="0.2">
      <c r="A10" s="26"/>
      <c r="B10" s="26"/>
      <c r="C10" s="26"/>
      <c r="D10" s="26"/>
      <c r="E10" s="27" t="s">
        <v>26</v>
      </c>
      <c r="F10" s="27"/>
      <c r="G10" s="8">
        <v>29</v>
      </c>
      <c r="H10" s="8">
        <v>27</v>
      </c>
      <c r="I10" s="8">
        <v>5</v>
      </c>
      <c r="J10" s="8">
        <v>0</v>
      </c>
      <c r="K10" s="8">
        <v>5</v>
      </c>
      <c r="L10" s="9">
        <v>1</v>
      </c>
      <c r="M10" s="15">
        <v>4</v>
      </c>
    </row>
    <row r="11" spans="1:13" outlineLevel="4" x14ac:dyDescent="0.2">
      <c r="A11" s="26"/>
      <c r="B11" s="26"/>
      <c r="C11" s="26"/>
      <c r="D11" s="26"/>
      <c r="E11" s="27" t="s">
        <v>21</v>
      </c>
      <c r="F11" s="27"/>
      <c r="G11" s="8">
        <v>25</v>
      </c>
      <c r="H11" s="8">
        <v>26</v>
      </c>
      <c r="I11" s="8">
        <v>1</v>
      </c>
      <c r="J11" s="8">
        <v>0</v>
      </c>
      <c r="K11" s="8">
        <v>5</v>
      </c>
      <c r="L11" s="9">
        <v>1</v>
      </c>
      <c r="M11" s="15">
        <v>5</v>
      </c>
    </row>
    <row r="12" spans="1:13" outlineLevel="4" x14ac:dyDescent="0.2">
      <c r="A12" s="26"/>
      <c r="B12" s="26"/>
      <c r="C12" s="26"/>
      <c r="D12" s="26"/>
      <c r="E12" s="27" t="s">
        <v>32</v>
      </c>
      <c r="F12" s="27"/>
      <c r="G12" s="8">
        <v>31</v>
      </c>
      <c r="H12" s="8">
        <v>21</v>
      </c>
      <c r="I12" s="8">
        <v>0</v>
      </c>
      <c r="J12" s="8">
        <v>0</v>
      </c>
      <c r="K12" s="8">
        <v>15</v>
      </c>
      <c r="L12" s="9">
        <v>0</v>
      </c>
      <c r="M12" s="15">
        <v>6</v>
      </c>
    </row>
    <row r="13" spans="1:13" outlineLevel="4" x14ac:dyDescent="0.2">
      <c r="A13" s="26"/>
      <c r="B13" s="26"/>
      <c r="C13" s="26"/>
      <c r="D13" s="26"/>
      <c r="E13" s="27" t="s">
        <v>27</v>
      </c>
      <c r="F13" s="27"/>
      <c r="G13" s="8">
        <v>29</v>
      </c>
      <c r="H13" s="8">
        <v>28</v>
      </c>
      <c r="I13" s="8">
        <v>0</v>
      </c>
      <c r="J13" s="8">
        <v>0</v>
      </c>
      <c r="K13" s="8">
        <v>5</v>
      </c>
      <c r="L13" s="9">
        <v>0</v>
      </c>
      <c r="M13" s="15">
        <v>7</v>
      </c>
    </row>
    <row r="14" spans="1:13" outlineLevel="4" x14ac:dyDescent="0.2">
      <c r="A14" s="26"/>
      <c r="B14" s="26"/>
      <c r="C14" s="26"/>
      <c r="D14" s="26"/>
      <c r="E14" s="27" t="s">
        <v>22</v>
      </c>
      <c r="F14" s="27"/>
      <c r="G14" s="8">
        <v>25</v>
      </c>
      <c r="H14" s="8">
        <v>24</v>
      </c>
      <c r="I14" s="8">
        <v>1</v>
      </c>
      <c r="J14" s="8">
        <v>1</v>
      </c>
      <c r="K14" s="8">
        <v>5</v>
      </c>
      <c r="L14" s="9">
        <v>0</v>
      </c>
      <c r="M14" s="15">
        <v>8</v>
      </c>
    </row>
    <row r="15" spans="1:13" outlineLevel="4" x14ac:dyDescent="0.2">
      <c r="A15" s="26"/>
      <c r="B15" s="26"/>
      <c r="C15" s="26"/>
      <c r="D15" s="26"/>
      <c r="E15" s="27" t="s">
        <v>33</v>
      </c>
      <c r="F15" s="27"/>
      <c r="G15" s="8">
        <v>31</v>
      </c>
      <c r="H15" s="8">
        <v>20</v>
      </c>
      <c r="I15" s="8">
        <v>3</v>
      </c>
      <c r="J15" s="8">
        <v>0</v>
      </c>
      <c r="K15" s="8">
        <v>12</v>
      </c>
      <c r="L15" s="9">
        <v>1</v>
      </c>
      <c r="M15" s="15">
        <v>9</v>
      </c>
    </row>
    <row r="16" spans="1:13" outlineLevel="4" x14ac:dyDescent="0.2">
      <c r="A16" s="26"/>
      <c r="B16" s="26"/>
      <c r="C16" s="26"/>
      <c r="D16" s="26"/>
      <c r="E16" s="27" t="s">
        <v>28</v>
      </c>
      <c r="F16" s="27"/>
      <c r="G16" s="8">
        <v>29</v>
      </c>
      <c r="H16" s="8">
        <v>29</v>
      </c>
      <c r="I16" s="8">
        <v>0</v>
      </c>
      <c r="J16" s="8">
        <v>0</v>
      </c>
      <c r="K16" s="8">
        <v>5</v>
      </c>
      <c r="L16" s="9">
        <v>0</v>
      </c>
      <c r="M16" s="15">
        <v>10</v>
      </c>
    </row>
    <row r="17" spans="1:13" outlineLevel="4" x14ac:dyDescent="0.2">
      <c r="A17" s="26"/>
      <c r="B17" s="26"/>
      <c r="C17" s="26"/>
      <c r="D17" s="26"/>
      <c r="E17" s="27" t="s">
        <v>23</v>
      </c>
      <c r="F17" s="27"/>
      <c r="G17" s="8">
        <v>25</v>
      </c>
      <c r="H17" s="8">
        <v>22</v>
      </c>
      <c r="I17" s="8">
        <v>0</v>
      </c>
      <c r="J17" s="8">
        <v>0</v>
      </c>
      <c r="K17" s="8">
        <v>5</v>
      </c>
      <c r="L17" s="9">
        <v>0</v>
      </c>
      <c r="M17" s="15">
        <v>11</v>
      </c>
    </row>
    <row r="18" spans="1:13" outlineLevel="4" x14ac:dyDescent="0.2">
      <c r="A18" s="26"/>
      <c r="B18" s="26"/>
      <c r="C18" s="26"/>
      <c r="D18" s="26"/>
      <c r="E18" s="27" t="s">
        <v>34</v>
      </c>
      <c r="F18" s="27"/>
      <c r="G18" s="8">
        <v>31</v>
      </c>
      <c r="H18" s="8">
        <v>22</v>
      </c>
      <c r="I18" s="8">
        <v>2</v>
      </c>
      <c r="J18" s="8">
        <v>0</v>
      </c>
      <c r="K18" s="8">
        <v>11</v>
      </c>
      <c r="L18" s="9">
        <v>0</v>
      </c>
      <c r="M18" s="15">
        <v>12</v>
      </c>
    </row>
    <row r="19" spans="1:13" collapsed="1" x14ac:dyDescent="0.2">
      <c r="A19" s="28" t="s">
        <v>19</v>
      </c>
      <c r="B19" s="28"/>
      <c r="C19" s="28"/>
      <c r="D19" s="28"/>
      <c r="E19" s="28"/>
      <c r="F19" s="28"/>
      <c r="G19" s="10">
        <v>652</v>
      </c>
      <c r="H19" s="10">
        <v>443</v>
      </c>
      <c r="I19" s="10">
        <v>94</v>
      </c>
      <c r="J19" s="10">
        <v>16</v>
      </c>
      <c r="K19" s="10">
        <v>250</v>
      </c>
      <c r="L19" s="11">
        <v>103</v>
      </c>
      <c r="M19" s="16"/>
    </row>
    <row r="22" spans="1:13" x14ac:dyDescent="0.2">
      <c r="E22" s="18"/>
      <c r="F22" s="20" t="s">
        <v>44</v>
      </c>
      <c r="G22" s="19">
        <f>25.95*7</f>
        <v>181.65</v>
      </c>
      <c r="H22" s="22">
        <f t="shared" ref="H22:H24" si="0">G22*E22</f>
        <v>0</v>
      </c>
      <c r="J22" s="24"/>
    </row>
    <row r="23" spans="1:13" x14ac:dyDescent="0.2">
      <c r="E23" s="18"/>
      <c r="F23" s="20" t="s">
        <v>40</v>
      </c>
      <c r="G23" s="19">
        <f>25.95*10</f>
        <v>259.5</v>
      </c>
      <c r="H23" s="22">
        <f t="shared" si="0"/>
        <v>0</v>
      </c>
    </row>
    <row r="24" spans="1:13" x14ac:dyDescent="0.2">
      <c r="E24" s="18">
        <v>4</v>
      </c>
      <c r="F24" s="20" t="s">
        <v>41</v>
      </c>
      <c r="G24" s="19">
        <f>25.95*25</f>
        <v>648.75</v>
      </c>
      <c r="H24" s="22">
        <f t="shared" si="0"/>
        <v>2595</v>
      </c>
      <c r="J24" s="24"/>
    </row>
    <row r="25" spans="1:13" x14ac:dyDescent="0.2">
      <c r="E25" s="18">
        <v>4</v>
      </c>
      <c r="F25" s="20" t="s">
        <v>43</v>
      </c>
      <c r="G25" s="19">
        <f>25.95*29</f>
        <v>752.55</v>
      </c>
      <c r="H25" s="22">
        <f>G25*E25</f>
        <v>3010.2</v>
      </c>
      <c r="J25" s="24"/>
    </row>
    <row r="26" spans="1:13" x14ac:dyDescent="0.2">
      <c r="E26" s="18">
        <v>4</v>
      </c>
      <c r="F26" s="20" t="s">
        <v>42</v>
      </c>
      <c r="G26" s="19">
        <f>25.95*31</f>
        <v>804.44999999999993</v>
      </c>
      <c r="H26" s="22">
        <f>G26*E26</f>
        <v>3217.7999999999997</v>
      </c>
      <c r="J26" s="24"/>
    </row>
    <row r="27" spans="1:13" ht="13.5" thickBot="1" x14ac:dyDescent="0.25">
      <c r="E27" s="17"/>
      <c r="F27" s="21"/>
      <c r="G27" s="17"/>
      <c r="H27" s="23">
        <f>SUM(H22:H26)</f>
        <v>8823</v>
      </c>
    </row>
  </sheetData>
  <mergeCells count="32">
    <mergeCell ref="B4:F4"/>
    <mergeCell ref="A5:B5"/>
    <mergeCell ref="C5:F5"/>
    <mergeCell ref="A18:D18"/>
    <mergeCell ref="E18:F18"/>
    <mergeCell ref="A19:F19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:M1"/>
    <mergeCell ref="A16:D16"/>
    <mergeCell ref="E16:F16"/>
    <mergeCell ref="A17:D17"/>
    <mergeCell ref="E17:F17"/>
    <mergeCell ref="A6:C6"/>
    <mergeCell ref="D6:F6"/>
    <mergeCell ref="A7:D7"/>
    <mergeCell ref="E7:F7"/>
    <mergeCell ref="A8:D8"/>
    <mergeCell ref="E8:F8"/>
    <mergeCell ref="A9:D9"/>
    <mergeCell ref="E9:F9"/>
    <mergeCell ref="A10:D10"/>
    <mergeCell ref="E10:F10"/>
    <mergeCell ref="A3:F3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showGridLines="0" topLeftCell="A3" workbookViewId="0"/>
  </sheetViews>
  <sheetFormatPr defaultRowHeight="12.75" x14ac:dyDescent="0.2"/>
  <sheetData>
    <row r="1" spans="1:2" ht="0" hidden="1" customHeight="1" x14ac:dyDescent="0.2">
      <c r="A1" t="s">
        <v>37</v>
      </c>
      <c r="B1" t="s">
        <v>38</v>
      </c>
    </row>
    <row r="2" spans="1:2" ht="0" hidden="1" customHeight="1" x14ac:dyDescent="0.2">
      <c r="A2" t="s">
        <v>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4"/>
  <sheetViews>
    <sheetView workbookViewId="0">
      <selection activeCell="M14" sqref="A2:M14"/>
    </sheetView>
  </sheetViews>
  <sheetFormatPr defaultRowHeight="12.75" outlineLevelRow="4" x14ac:dyDescent="0.2"/>
  <cols>
    <col min="6" max="6" width="15.7109375" bestFit="1" customWidth="1"/>
    <col min="8" max="8" width="10.5703125" bestFit="1" customWidth="1"/>
  </cols>
  <sheetData>
    <row r="2" spans="1:13" ht="18.75" x14ac:dyDescent="0.3">
      <c r="A2" s="25" t="s">
        <v>46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42.7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4" t="s">
        <v>11</v>
      </c>
      <c r="M3" s="13" t="s">
        <v>45</v>
      </c>
    </row>
    <row r="4" spans="1:13" x14ac:dyDescent="0.2">
      <c r="A4" s="29" t="s">
        <v>12</v>
      </c>
      <c r="B4" s="29"/>
      <c r="C4" s="29"/>
      <c r="D4" s="29"/>
      <c r="E4" s="29"/>
      <c r="F4" s="29"/>
      <c r="G4" s="6">
        <v>21</v>
      </c>
      <c r="H4" s="6">
        <v>13</v>
      </c>
      <c r="I4" s="6">
        <v>10</v>
      </c>
      <c r="J4" s="6">
        <v>1</v>
      </c>
      <c r="K4" s="6">
        <v>9</v>
      </c>
      <c r="L4" s="7">
        <v>3</v>
      </c>
      <c r="M4" s="14"/>
    </row>
    <row r="5" spans="1:13" outlineLevel="1" x14ac:dyDescent="0.2">
      <c r="A5" s="5"/>
      <c r="B5" s="30" t="s">
        <v>13</v>
      </c>
      <c r="C5" s="30"/>
      <c r="D5" s="30"/>
      <c r="E5" s="30"/>
      <c r="F5" s="30"/>
      <c r="G5" s="6">
        <v>21</v>
      </c>
      <c r="H5" s="6">
        <v>13</v>
      </c>
      <c r="I5" s="6">
        <v>10</v>
      </c>
      <c r="J5" s="6">
        <v>1</v>
      </c>
      <c r="K5" s="6">
        <v>9</v>
      </c>
      <c r="L5" s="7">
        <v>3</v>
      </c>
      <c r="M5" s="14"/>
    </row>
    <row r="6" spans="1:13" outlineLevel="2" x14ac:dyDescent="0.2">
      <c r="A6" s="29"/>
      <c r="B6" s="29"/>
      <c r="C6" s="30" t="s">
        <v>14</v>
      </c>
      <c r="D6" s="30"/>
      <c r="E6" s="30"/>
      <c r="F6" s="30"/>
      <c r="G6" s="6">
        <v>21</v>
      </c>
      <c r="H6" s="6">
        <v>13</v>
      </c>
      <c r="I6" s="6">
        <v>10</v>
      </c>
      <c r="J6" s="6">
        <v>1</v>
      </c>
      <c r="K6" s="6">
        <v>9</v>
      </c>
      <c r="L6" s="7">
        <v>3</v>
      </c>
      <c r="M6" s="14"/>
    </row>
    <row r="7" spans="1:13" outlineLevel="3" x14ac:dyDescent="0.2">
      <c r="A7" s="29"/>
      <c r="B7" s="29"/>
      <c r="C7" s="29"/>
      <c r="D7" s="30" t="s">
        <v>15</v>
      </c>
      <c r="E7" s="30"/>
      <c r="F7" s="30"/>
      <c r="G7" s="6">
        <v>21</v>
      </c>
      <c r="H7" s="6">
        <v>13</v>
      </c>
      <c r="I7" s="6">
        <v>10</v>
      </c>
      <c r="J7" s="6">
        <v>1</v>
      </c>
      <c r="K7" s="6">
        <v>9</v>
      </c>
      <c r="L7" s="7">
        <v>3</v>
      </c>
      <c r="M7" s="14"/>
    </row>
    <row r="8" spans="1:13" outlineLevel="4" x14ac:dyDescent="0.2">
      <c r="A8" s="26"/>
      <c r="B8" s="26"/>
      <c r="C8" s="26"/>
      <c r="D8" s="26"/>
      <c r="E8" s="27" t="s">
        <v>16</v>
      </c>
      <c r="F8" s="27"/>
      <c r="G8" s="8">
        <v>7</v>
      </c>
      <c r="H8" s="8">
        <v>4</v>
      </c>
      <c r="I8" s="8">
        <v>1</v>
      </c>
      <c r="J8" s="8">
        <v>0</v>
      </c>
      <c r="K8" s="8">
        <v>3</v>
      </c>
      <c r="L8" s="9">
        <v>1</v>
      </c>
      <c r="M8" s="15">
        <v>1</v>
      </c>
    </row>
    <row r="9" spans="1:13" outlineLevel="4" x14ac:dyDescent="0.2">
      <c r="A9" s="26"/>
      <c r="B9" s="26"/>
      <c r="C9" s="26"/>
      <c r="D9" s="26"/>
      <c r="E9" s="27" t="s">
        <v>17</v>
      </c>
      <c r="F9" s="27"/>
      <c r="G9" s="8">
        <v>7</v>
      </c>
      <c r="H9" s="8">
        <v>4</v>
      </c>
      <c r="I9" s="8">
        <v>4</v>
      </c>
      <c r="J9" s="8">
        <v>0</v>
      </c>
      <c r="K9" s="8">
        <v>3</v>
      </c>
      <c r="L9" s="9">
        <v>0</v>
      </c>
      <c r="M9" s="15">
        <v>2</v>
      </c>
    </row>
    <row r="10" spans="1:13" outlineLevel="4" x14ac:dyDescent="0.2">
      <c r="A10" s="26"/>
      <c r="B10" s="26"/>
      <c r="C10" s="26"/>
      <c r="D10" s="26"/>
      <c r="E10" s="27" t="s">
        <v>18</v>
      </c>
      <c r="F10" s="27"/>
      <c r="G10" s="8">
        <v>7</v>
      </c>
      <c r="H10" s="8">
        <v>5</v>
      </c>
      <c r="I10" s="8">
        <v>5</v>
      </c>
      <c r="J10" s="8">
        <v>1</v>
      </c>
      <c r="K10" s="8">
        <v>3</v>
      </c>
      <c r="L10" s="9">
        <v>2</v>
      </c>
      <c r="M10" s="15">
        <v>3</v>
      </c>
    </row>
    <row r="12" spans="1:13" x14ac:dyDescent="0.2">
      <c r="E12" s="18">
        <v>3</v>
      </c>
      <c r="F12" s="20" t="s">
        <v>44</v>
      </c>
      <c r="G12" s="19">
        <f>25.95*7</f>
        <v>181.65</v>
      </c>
      <c r="H12" s="22">
        <f t="shared" ref="H12:H13" si="0">G12*E12</f>
        <v>544.95000000000005</v>
      </c>
    </row>
    <row r="13" spans="1:13" x14ac:dyDescent="0.2">
      <c r="E13" s="18"/>
      <c r="F13" s="20" t="s">
        <v>40</v>
      </c>
      <c r="G13" s="19">
        <f>25.95*10</f>
        <v>259.5</v>
      </c>
      <c r="H13" s="22">
        <f t="shared" si="0"/>
        <v>0</v>
      </c>
    </row>
    <row r="14" spans="1:13" ht="13.5" thickBot="1" x14ac:dyDescent="0.25">
      <c r="H14" s="23">
        <f>SUM(H12:H13)</f>
        <v>544.95000000000005</v>
      </c>
    </row>
  </sheetData>
  <mergeCells count="13">
    <mergeCell ref="A10:D10"/>
    <mergeCell ref="E10:F10"/>
    <mergeCell ref="A4:F4"/>
    <mergeCell ref="B5:F5"/>
    <mergeCell ref="A6:B6"/>
    <mergeCell ref="C6:F6"/>
    <mergeCell ref="A7:C7"/>
    <mergeCell ref="D7:F7"/>
    <mergeCell ref="A2:M2"/>
    <mergeCell ref="A8:D8"/>
    <mergeCell ref="E8:F8"/>
    <mergeCell ref="A9:D9"/>
    <mergeCell ref="E9:F9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6"/>
  <sheetViews>
    <sheetView workbookViewId="0">
      <selection activeCell="M16" sqref="A2:M16"/>
    </sheetView>
  </sheetViews>
  <sheetFormatPr defaultRowHeight="12.75" outlineLevelRow="4" x14ac:dyDescent="0.2"/>
  <cols>
    <col min="6" max="6" width="15.7109375" bestFit="1" customWidth="1"/>
    <col min="8" max="8" width="12.140625" bestFit="1" customWidth="1"/>
  </cols>
  <sheetData>
    <row r="2" spans="1:13" ht="18.75" x14ac:dyDescent="0.3">
      <c r="A2" s="25" t="s">
        <v>46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42.7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4" t="s">
        <v>11</v>
      </c>
      <c r="M3" s="13" t="s">
        <v>45</v>
      </c>
    </row>
    <row r="4" spans="1:13" x14ac:dyDescent="0.2">
      <c r="A4" s="29" t="s">
        <v>29</v>
      </c>
      <c r="B4" s="29"/>
      <c r="C4" s="29"/>
      <c r="D4" s="29"/>
      <c r="E4" s="29"/>
      <c r="F4" s="29"/>
      <c r="G4" s="6">
        <v>50</v>
      </c>
      <c r="H4" s="6">
        <v>35</v>
      </c>
      <c r="I4" s="6">
        <v>0</v>
      </c>
      <c r="J4" s="6">
        <v>0</v>
      </c>
      <c r="K4" s="6">
        <v>15</v>
      </c>
      <c r="L4" s="7">
        <v>0</v>
      </c>
      <c r="M4" s="14"/>
    </row>
    <row r="5" spans="1:13" outlineLevel="1" x14ac:dyDescent="0.2">
      <c r="A5" s="5"/>
      <c r="B5" s="30" t="s">
        <v>24</v>
      </c>
      <c r="C5" s="30"/>
      <c r="D5" s="30"/>
      <c r="E5" s="30"/>
      <c r="F5" s="30"/>
      <c r="G5" s="6">
        <v>50</v>
      </c>
      <c r="H5" s="6">
        <v>35</v>
      </c>
      <c r="I5" s="6">
        <v>0</v>
      </c>
      <c r="J5" s="6">
        <v>0</v>
      </c>
      <c r="K5" s="6">
        <v>15</v>
      </c>
      <c r="L5" s="7">
        <v>0</v>
      </c>
      <c r="M5" s="14"/>
    </row>
    <row r="6" spans="1:13" outlineLevel="2" x14ac:dyDescent="0.2">
      <c r="A6" s="29"/>
      <c r="B6" s="29"/>
      <c r="C6" s="30" t="s">
        <v>30</v>
      </c>
      <c r="D6" s="30"/>
      <c r="E6" s="30"/>
      <c r="F6" s="30"/>
      <c r="G6" s="6">
        <v>50</v>
      </c>
      <c r="H6" s="6">
        <v>35</v>
      </c>
      <c r="I6" s="6">
        <v>0</v>
      </c>
      <c r="J6" s="6">
        <v>0</v>
      </c>
      <c r="K6" s="6">
        <v>15</v>
      </c>
      <c r="L6" s="7">
        <v>0</v>
      </c>
      <c r="M6" s="14"/>
    </row>
    <row r="7" spans="1:13" outlineLevel="3" x14ac:dyDescent="0.2">
      <c r="A7" s="29"/>
      <c r="B7" s="29"/>
      <c r="C7" s="29"/>
      <c r="D7" s="30" t="s">
        <v>15</v>
      </c>
      <c r="E7" s="30"/>
      <c r="F7" s="30"/>
      <c r="G7" s="6">
        <v>50</v>
      </c>
      <c r="H7" s="6">
        <v>35</v>
      </c>
      <c r="I7" s="6">
        <v>0</v>
      </c>
      <c r="J7" s="6">
        <v>0</v>
      </c>
      <c r="K7" s="6">
        <v>15</v>
      </c>
      <c r="L7" s="7">
        <v>0</v>
      </c>
      <c r="M7" s="14"/>
    </row>
    <row r="8" spans="1:13" outlineLevel="4" x14ac:dyDescent="0.2">
      <c r="A8" s="26"/>
      <c r="B8" s="26"/>
      <c r="C8" s="26"/>
      <c r="D8" s="26"/>
      <c r="E8" s="27" t="s">
        <v>20</v>
      </c>
      <c r="F8" s="27"/>
      <c r="G8" s="8">
        <v>10</v>
      </c>
      <c r="H8" s="8">
        <v>6</v>
      </c>
      <c r="I8" s="8">
        <v>0</v>
      </c>
      <c r="J8" s="8">
        <v>0</v>
      </c>
      <c r="K8" s="8">
        <v>3</v>
      </c>
      <c r="L8" s="9">
        <v>0</v>
      </c>
      <c r="M8" s="15">
        <v>1</v>
      </c>
    </row>
    <row r="9" spans="1:13" outlineLevel="4" x14ac:dyDescent="0.2">
      <c r="A9" s="26"/>
      <c r="B9" s="26"/>
      <c r="C9" s="26"/>
      <c r="D9" s="26"/>
      <c r="E9" s="27" t="s">
        <v>16</v>
      </c>
      <c r="F9" s="27"/>
      <c r="G9" s="8">
        <v>10</v>
      </c>
      <c r="H9" s="8">
        <v>7</v>
      </c>
      <c r="I9" s="8">
        <v>0</v>
      </c>
      <c r="J9" s="8">
        <v>0</v>
      </c>
      <c r="K9" s="8">
        <v>3</v>
      </c>
      <c r="L9" s="9">
        <v>0</v>
      </c>
      <c r="M9" s="15">
        <v>2</v>
      </c>
    </row>
    <row r="10" spans="1:13" outlineLevel="4" x14ac:dyDescent="0.2">
      <c r="A10" s="26"/>
      <c r="B10" s="26"/>
      <c r="C10" s="26"/>
      <c r="D10" s="26"/>
      <c r="E10" s="27" t="s">
        <v>21</v>
      </c>
      <c r="F10" s="27"/>
      <c r="G10" s="8">
        <v>10</v>
      </c>
      <c r="H10" s="8">
        <v>8</v>
      </c>
      <c r="I10" s="8">
        <v>0</v>
      </c>
      <c r="J10" s="8">
        <v>0</v>
      </c>
      <c r="K10" s="8">
        <v>3</v>
      </c>
      <c r="L10" s="9">
        <v>0</v>
      </c>
      <c r="M10" s="15">
        <v>3</v>
      </c>
    </row>
    <row r="11" spans="1:13" outlineLevel="4" x14ac:dyDescent="0.2">
      <c r="A11" s="26"/>
      <c r="B11" s="26"/>
      <c r="C11" s="26"/>
      <c r="D11" s="26"/>
      <c r="E11" s="27" t="s">
        <v>17</v>
      </c>
      <c r="F11" s="27"/>
      <c r="G11" s="8">
        <v>10</v>
      </c>
      <c r="H11" s="8">
        <v>7</v>
      </c>
      <c r="I11" s="8">
        <v>0</v>
      </c>
      <c r="J11" s="8">
        <v>0</v>
      </c>
      <c r="K11" s="8">
        <v>3</v>
      </c>
      <c r="L11" s="9">
        <v>0</v>
      </c>
      <c r="M11" s="15">
        <v>4</v>
      </c>
    </row>
    <row r="12" spans="1:13" outlineLevel="4" x14ac:dyDescent="0.2">
      <c r="A12" s="26"/>
      <c r="B12" s="26"/>
      <c r="C12" s="26"/>
      <c r="D12" s="26"/>
      <c r="E12" s="27" t="s">
        <v>22</v>
      </c>
      <c r="F12" s="27"/>
      <c r="G12" s="8">
        <v>10</v>
      </c>
      <c r="H12" s="8">
        <v>7</v>
      </c>
      <c r="I12" s="8">
        <v>0</v>
      </c>
      <c r="J12" s="8">
        <v>0</v>
      </c>
      <c r="K12" s="8">
        <v>3</v>
      </c>
      <c r="L12" s="9">
        <v>0</v>
      </c>
      <c r="M12" s="15">
        <v>5</v>
      </c>
    </row>
    <row r="14" spans="1:13" x14ac:dyDescent="0.2">
      <c r="E14" s="18">
        <v>0</v>
      </c>
      <c r="F14" s="20" t="s">
        <v>44</v>
      </c>
      <c r="G14" s="19">
        <f>25.95*7</f>
        <v>181.65</v>
      </c>
      <c r="H14" s="22">
        <f t="shared" ref="H14:H15" si="0">G14*E14</f>
        <v>0</v>
      </c>
    </row>
    <row r="15" spans="1:13" x14ac:dyDescent="0.2">
      <c r="E15" s="18">
        <v>5</v>
      </c>
      <c r="F15" s="20" t="s">
        <v>40</v>
      </c>
      <c r="G15" s="19">
        <f>25.95*10</f>
        <v>259.5</v>
      </c>
      <c r="H15" s="22">
        <f t="shared" si="0"/>
        <v>1297.5</v>
      </c>
    </row>
    <row r="16" spans="1:13" ht="13.5" thickBot="1" x14ac:dyDescent="0.25">
      <c r="H16" s="23">
        <f>SUM(H14:H15)</f>
        <v>1297.5</v>
      </c>
    </row>
  </sheetData>
  <mergeCells count="17">
    <mergeCell ref="D7:F7"/>
    <mergeCell ref="A11:D11"/>
    <mergeCell ref="E11:F11"/>
    <mergeCell ref="A12:D12"/>
    <mergeCell ref="E12:F12"/>
    <mergeCell ref="A2:M2"/>
    <mergeCell ref="A8:D8"/>
    <mergeCell ref="E8:F8"/>
    <mergeCell ref="A9:D9"/>
    <mergeCell ref="E9:F9"/>
    <mergeCell ref="A10:D10"/>
    <mergeCell ref="E10:F10"/>
    <mergeCell ref="A4:F4"/>
    <mergeCell ref="B5:F5"/>
    <mergeCell ref="A6:B6"/>
    <mergeCell ref="C6:F6"/>
    <mergeCell ref="A7:C7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&amp;Análise de Oferta x Realização</vt:lpstr>
      <vt:lpstr>Plan1</vt:lpstr>
      <vt:lpstr>Plan2</vt:lpstr>
      <vt:lpstr>'&amp;Análise de Oferta x Realização'!Area_de_impressao</vt:lpstr>
      <vt:lpstr>Plan1!Area_de_impressao</vt:lpstr>
      <vt:lpstr>Plan2!Area_de_impressao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Lopes - Administração - HU</dc:creator>
  <cp:lastModifiedBy>HMD</cp:lastModifiedBy>
  <cp:lastPrinted>2016-05-03T19:28:11Z</cp:lastPrinted>
  <dcterms:created xsi:type="dcterms:W3CDTF">2016-05-03T19:22:25Z</dcterms:created>
  <dcterms:modified xsi:type="dcterms:W3CDTF">2017-02-08T13:30:43Z</dcterms:modified>
</cp:coreProperties>
</file>