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480" windowHeight="8070" tabRatio="718" activeTab="5"/>
  </bookViews>
  <sheets>
    <sheet name="MAPA" sheetId="1" r:id="rId1"/>
    <sheet name="Protocolo de Entrega" sheetId="3" r:id="rId2"/>
    <sheet name="Estatística" sheetId="4" r:id="rId3"/>
    <sheet name="Etiquetas UTIP" sheetId="2" r:id="rId4"/>
    <sheet name="Etiquetas PED" sheetId="5" r:id="rId5"/>
    <sheet name="Etiquetas CTI Neo" sheetId="6" r:id="rId6"/>
    <sheet name="Etiquetas AC" sheetId="7" r:id="rId7"/>
    <sheet name="Plan1" sheetId="8" r:id="rId8"/>
    <sheet name="Plan2" sheetId="9" r:id="rId9"/>
  </sheets>
  <definedNames>
    <definedName name="_xlnm._FilterDatabase" localSheetId="2" hidden="1">Estatística!$A$24:$E$295</definedName>
    <definedName name="_xlnm._FilterDatabase" localSheetId="0" hidden="1">MAPA!$A$21:$I$63</definedName>
  </definedNames>
  <calcPr calcId="145621"/>
</workbook>
</file>

<file path=xl/calcChain.xml><?xml version="1.0" encoding="utf-8"?>
<calcChain xmlns="http://schemas.openxmlformats.org/spreadsheetml/2006/main">
  <c r="B79" i="4" l="1"/>
  <c r="B28" i="3" l="1"/>
  <c r="E28" i="4" l="1"/>
  <c r="D57" i="4" l="1"/>
  <c r="C34" i="4"/>
  <c r="B15" i="3" l="1"/>
  <c r="C28" i="4" l="1"/>
  <c r="F79" i="3" l="1"/>
  <c r="E79" i="3"/>
  <c r="D79" i="3"/>
  <c r="C79" i="3"/>
  <c r="B79" i="3"/>
  <c r="C31" i="4" l="1"/>
  <c r="C86" i="4" l="1"/>
  <c r="B113" i="4" l="1"/>
  <c r="C113" i="4"/>
  <c r="D113" i="4"/>
  <c r="E113" i="4"/>
  <c r="B114" i="4"/>
  <c r="C114" i="4"/>
  <c r="D114" i="4"/>
  <c r="E114" i="4"/>
  <c r="B115" i="4"/>
  <c r="C115" i="4"/>
  <c r="D115" i="4"/>
  <c r="E115" i="4"/>
  <c r="B116" i="4"/>
  <c r="C116" i="4"/>
  <c r="D116" i="4"/>
  <c r="E116" i="4"/>
  <c r="B117" i="4"/>
  <c r="C117" i="4"/>
  <c r="D117" i="4"/>
  <c r="E117" i="4"/>
  <c r="B118" i="4"/>
  <c r="C118" i="4"/>
  <c r="D118" i="4"/>
  <c r="E118" i="4"/>
  <c r="B119" i="4"/>
  <c r="C119" i="4"/>
  <c r="D119" i="4"/>
  <c r="E119" i="4"/>
  <c r="B120" i="4"/>
  <c r="C120" i="4"/>
  <c r="D120" i="4"/>
  <c r="E120" i="4"/>
  <c r="B121" i="4"/>
  <c r="C121" i="4"/>
  <c r="D121" i="4"/>
  <c r="E121" i="4"/>
  <c r="B122" i="4"/>
  <c r="C122" i="4"/>
  <c r="D122" i="4"/>
  <c r="E122" i="4"/>
  <c r="B123" i="4"/>
  <c r="C123" i="4"/>
  <c r="D123" i="4"/>
  <c r="E123" i="4"/>
  <c r="B124" i="4"/>
  <c r="C124" i="4"/>
  <c r="D124" i="4"/>
  <c r="E124" i="4"/>
  <c r="B125" i="4"/>
  <c r="C125" i="4"/>
  <c r="D125" i="4"/>
  <c r="E125" i="4"/>
  <c r="B126" i="4"/>
  <c r="C126" i="4"/>
  <c r="D126" i="4"/>
  <c r="E126" i="4"/>
  <c r="B127" i="4"/>
  <c r="C127" i="4"/>
  <c r="D127" i="4"/>
  <c r="E127" i="4"/>
  <c r="B128" i="4"/>
  <c r="C128" i="4"/>
  <c r="D128" i="4"/>
  <c r="E128" i="4"/>
  <c r="B129" i="4"/>
  <c r="C129" i="4"/>
  <c r="D129" i="4"/>
  <c r="E129" i="4"/>
  <c r="B130" i="4"/>
  <c r="C130" i="4"/>
  <c r="D130" i="4"/>
  <c r="E130" i="4"/>
  <c r="B131" i="4"/>
  <c r="C131" i="4"/>
  <c r="D131" i="4"/>
  <c r="E131" i="4"/>
  <c r="B132" i="4"/>
  <c r="C132" i="4"/>
  <c r="D132" i="4"/>
  <c r="E132" i="4"/>
  <c r="B133" i="4"/>
  <c r="C133" i="4"/>
  <c r="D133" i="4"/>
  <c r="E133" i="4"/>
  <c r="B134" i="4"/>
  <c r="C134" i="4"/>
  <c r="D134" i="4"/>
  <c r="E134" i="4"/>
  <c r="B135" i="4"/>
  <c r="C135" i="4"/>
  <c r="D135" i="4"/>
  <c r="E135" i="4"/>
  <c r="B136" i="4"/>
  <c r="C136" i="4"/>
  <c r="D136" i="4"/>
  <c r="E136" i="4"/>
  <c r="B137" i="4"/>
  <c r="C137" i="4"/>
  <c r="D137" i="4"/>
  <c r="E137" i="4"/>
  <c r="B138" i="4"/>
  <c r="C138" i="4"/>
  <c r="D138" i="4"/>
  <c r="E138" i="4"/>
  <c r="B139" i="4"/>
  <c r="C139" i="4"/>
  <c r="D139" i="4"/>
  <c r="E139" i="4"/>
  <c r="B140" i="4"/>
  <c r="C140" i="4"/>
  <c r="D140" i="4"/>
  <c r="E140" i="4"/>
  <c r="B141" i="4"/>
  <c r="C141" i="4"/>
  <c r="D141" i="4"/>
  <c r="E141" i="4"/>
  <c r="B142" i="4"/>
  <c r="C142" i="4"/>
  <c r="D142" i="4"/>
  <c r="E142" i="4"/>
  <c r="B143" i="4"/>
  <c r="C143" i="4"/>
  <c r="D143" i="4"/>
  <c r="E143" i="4"/>
  <c r="B144" i="4"/>
  <c r="C144" i="4"/>
  <c r="D144" i="4"/>
  <c r="E144" i="4"/>
  <c r="B145" i="4"/>
  <c r="C145" i="4"/>
  <c r="D145" i="4"/>
  <c r="E145" i="4"/>
  <c r="B146" i="4"/>
  <c r="C146" i="4"/>
  <c r="D146" i="4"/>
  <c r="E146" i="4"/>
  <c r="B147" i="4"/>
  <c r="C147" i="4"/>
  <c r="D147" i="4"/>
  <c r="E147" i="4"/>
  <c r="B148" i="4"/>
  <c r="C148" i="4"/>
  <c r="D148" i="4"/>
  <c r="E148" i="4"/>
  <c r="B149" i="4"/>
  <c r="C149" i="4"/>
  <c r="D149" i="4"/>
  <c r="E149" i="4"/>
  <c r="B150" i="4"/>
  <c r="C150" i="4"/>
  <c r="D150" i="4"/>
  <c r="E150" i="4"/>
  <c r="B151" i="4"/>
  <c r="C151" i="4"/>
  <c r="D151" i="4"/>
  <c r="E151" i="4"/>
  <c r="B152" i="4"/>
  <c r="C152" i="4"/>
  <c r="D152" i="4"/>
  <c r="E152" i="4"/>
  <c r="B153" i="4"/>
  <c r="C153" i="4"/>
  <c r="D153" i="4"/>
  <c r="E153" i="4"/>
  <c r="B154" i="4"/>
  <c r="C154" i="4"/>
  <c r="D154" i="4"/>
  <c r="E154" i="4"/>
  <c r="B155" i="4"/>
  <c r="C155" i="4"/>
  <c r="D155" i="4"/>
  <c r="E155" i="4"/>
  <c r="B156" i="4"/>
  <c r="C156" i="4"/>
  <c r="D156" i="4"/>
  <c r="E156" i="4"/>
  <c r="B157" i="4"/>
  <c r="C157" i="4"/>
  <c r="D157" i="4"/>
  <c r="E157" i="4"/>
  <c r="B158" i="4"/>
  <c r="C158" i="4"/>
  <c r="D158" i="4"/>
  <c r="E158" i="4"/>
  <c r="B159" i="4"/>
  <c r="C159" i="4"/>
  <c r="D159" i="4"/>
  <c r="E159" i="4"/>
  <c r="B160" i="4"/>
  <c r="C160" i="4"/>
  <c r="D160" i="4"/>
  <c r="E160" i="4"/>
  <c r="B161" i="4"/>
  <c r="C161" i="4"/>
  <c r="D161" i="4"/>
  <c r="E161" i="4"/>
  <c r="B162" i="4"/>
  <c r="C162" i="4"/>
  <c r="D162" i="4"/>
  <c r="E162" i="4"/>
  <c r="B163" i="4"/>
  <c r="C163" i="4"/>
  <c r="D163" i="4"/>
  <c r="E163" i="4"/>
  <c r="B164" i="4"/>
  <c r="C164" i="4"/>
  <c r="D164" i="4"/>
  <c r="E164" i="4"/>
  <c r="B165" i="4"/>
  <c r="C165" i="4"/>
  <c r="D165" i="4"/>
  <c r="E165" i="4"/>
  <c r="B166" i="4"/>
  <c r="C166" i="4"/>
  <c r="D166" i="4"/>
  <c r="E166" i="4"/>
  <c r="B167" i="4"/>
  <c r="C167" i="4"/>
  <c r="D167" i="4"/>
  <c r="E167" i="4"/>
  <c r="B168" i="4"/>
  <c r="C168" i="4"/>
  <c r="D168" i="4"/>
  <c r="E168" i="4"/>
  <c r="B169" i="4"/>
  <c r="C169" i="4"/>
  <c r="D169" i="4"/>
  <c r="E169" i="4"/>
  <c r="B170" i="4"/>
  <c r="C170" i="4"/>
  <c r="D170" i="4"/>
  <c r="E170" i="4"/>
  <c r="B171" i="4"/>
  <c r="C171" i="4"/>
  <c r="D171" i="4"/>
  <c r="E171" i="4"/>
  <c r="B172" i="4"/>
  <c r="C172" i="4"/>
  <c r="D172" i="4"/>
  <c r="E172" i="4"/>
  <c r="B173" i="4"/>
  <c r="C173" i="4"/>
  <c r="D173" i="4"/>
  <c r="E173" i="4"/>
  <c r="B174" i="4"/>
  <c r="C174" i="4"/>
  <c r="D174" i="4"/>
  <c r="E174" i="4"/>
  <c r="B175" i="4"/>
  <c r="C175" i="4"/>
  <c r="D175" i="4"/>
  <c r="E175" i="4"/>
  <c r="B176" i="4"/>
  <c r="C176" i="4"/>
  <c r="D176" i="4"/>
  <c r="E176" i="4"/>
  <c r="B177" i="4"/>
  <c r="C177" i="4"/>
  <c r="D177" i="4"/>
  <c r="E177" i="4"/>
  <c r="B178" i="4"/>
  <c r="C178" i="4"/>
  <c r="D178" i="4"/>
  <c r="E178" i="4"/>
  <c r="B179" i="4"/>
  <c r="C179" i="4"/>
  <c r="D179" i="4"/>
  <c r="E179" i="4"/>
  <c r="B180" i="4"/>
  <c r="C180" i="4"/>
  <c r="D180" i="4"/>
  <c r="E180" i="4"/>
  <c r="B181" i="4"/>
  <c r="C181" i="4"/>
  <c r="D181" i="4"/>
  <c r="E181" i="4"/>
  <c r="B182" i="4"/>
  <c r="C182" i="4"/>
  <c r="D182" i="4"/>
  <c r="E182" i="4"/>
  <c r="B183" i="4"/>
  <c r="C183" i="4"/>
  <c r="D183" i="4"/>
  <c r="E183" i="4"/>
  <c r="B184" i="4"/>
  <c r="C184" i="4"/>
  <c r="D184" i="4"/>
  <c r="E184" i="4"/>
  <c r="B185" i="4"/>
  <c r="C185" i="4"/>
  <c r="D185" i="4"/>
  <c r="E185" i="4"/>
  <c r="B186" i="4"/>
  <c r="C186" i="4"/>
  <c r="D186" i="4"/>
  <c r="E186" i="4"/>
  <c r="B187" i="4"/>
  <c r="C187" i="4"/>
  <c r="D187" i="4"/>
  <c r="E187" i="4"/>
  <c r="B188" i="4"/>
  <c r="C188" i="4"/>
  <c r="D188" i="4"/>
  <c r="E188" i="4"/>
  <c r="B189" i="4"/>
  <c r="C189" i="4"/>
  <c r="D189" i="4"/>
  <c r="E189" i="4"/>
  <c r="B190" i="4"/>
  <c r="C190" i="4"/>
  <c r="D190" i="4"/>
  <c r="E190" i="4"/>
  <c r="B191" i="4"/>
  <c r="C191" i="4"/>
  <c r="D191" i="4"/>
  <c r="E191" i="4"/>
  <c r="B192" i="4"/>
  <c r="C192" i="4"/>
  <c r="D192" i="4"/>
  <c r="E192" i="4"/>
  <c r="B193" i="4"/>
  <c r="C193" i="4"/>
  <c r="D193" i="4"/>
  <c r="E193" i="4"/>
  <c r="B194" i="4"/>
  <c r="C194" i="4"/>
  <c r="D194" i="4"/>
  <c r="E194" i="4"/>
  <c r="B195" i="4"/>
  <c r="C195" i="4"/>
  <c r="D195" i="4"/>
  <c r="E195" i="4"/>
  <c r="B196" i="4"/>
  <c r="C196" i="4"/>
  <c r="D196" i="4"/>
  <c r="E196" i="4"/>
  <c r="B197" i="4"/>
  <c r="C197" i="4"/>
  <c r="D197" i="4"/>
  <c r="E197" i="4"/>
  <c r="B198" i="4"/>
  <c r="C198" i="4"/>
  <c r="D198" i="4"/>
  <c r="E198" i="4"/>
  <c r="B199" i="4"/>
  <c r="C199" i="4"/>
  <c r="D199" i="4"/>
  <c r="E199" i="4"/>
  <c r="B200" i="4"/>
  <c r="C200" i="4"/>
  <c r="D200" i="4"/>
  <c r="E200" i="4"/>
  <c r="B201" i="4"/>
  <c r="C201" i="4"/>
  <c r="D201" i="4"/>
  <c r="E201" i="4"/>
  <c r="B202" i="4"/>
  <c r="C202" i="4"/>
  <c r="D202" i="4"/>
  <c r="E202" i="4"/>
  <c r="B203" i="4"/>
  <c r="C203" i="4"/>
  <c r="D203" i="4"/>
  <c r="E203" i="4"/>
  <c r="B204" i="4"/>
  <c r="C204" i="4"/>
  <c r="D204" i="4"/>
  <c r="E204" i="4"/>
  <c r="B205" i="4"/>
  <c r="C205" i="4"/>
  <c r="D205" i="4"/>
  <c r="E205" i="4"/>
  <c r="B206" i="4"/>
  <c r="C206" i="4"/>
  <c r="D206" i="4"/>
  <c r="E206" i="4"/>
  <c r="B207" i="4"/>
  <c r="C207" i="4"/>
  <c r="D207" i="4"/>
  <c r="E207" i="4"/>
  <c r="B208" i="4"/>
  <c r="C208" i="4"/>
  <c r="D208" i="4"/>
  <c r="E208" i="4"/>
  <c r="B209" i="4"/>
  <c r="C209" i="4"/>
  <c r="D209" i="4"/>
  <c r="E209" i="4"/>
  <c r="B210" i="4"/>
  <c r="C210" i="4"/>
  <c r="D210" i="4"/>
  <c r="E210" i="4"/>
  <c r="B211" i="4"/>
  <c r="C211" i="4"/>
  <c r="D211" i="4"/>
  <c r="E211" i="4"/>
  <c r="B212" i="4"/>
  <c r="C212" i="4"/>
  <c r="D212" i="4"/>
  <c r="E212" i="4"/>
  <c r="B213" i="4"/>
  <c r="C213" i="4"/>
  <c r="D213" i="4"/>
  <c r="E213" i="4"/>
  <c r="B214" i="4"/>
  <c r="C214" i="4"/>
  <c r="D214" i="4"/>
  <c r="E214" i="4"/>
  <c r="B215" i="4"/>
  <c r="C215" i="4"/>
  <c r="D215" i="4"/>
  <c r="E215" i="4"/>
  <c r="B216" i="4"/>
  <c r="C216" i="4"/>
  <c r="D216" i="4"/>
  <c r="E216" i="4"/>
  <c r="B217" i="4"/>
  <c r="C217" i="4"/>
  <c r="D217" i="4"/>
  <c r="E217" i="4"/>
  <c r="B218" i="4"/>
  <c r="C218" i="4"/>
  <c r="D218" i="4"/>
  <c r="E218" i="4"/>
  <c r="B219" i="4"/>
  <c r="C219" i="4"/>
  <c r="D219" i="4"/>
  <c r="E219" i="4"/>
  <c r="B220" i="4"/>
  <c r="C220" i="4"/>
  <c r="D220" i="4"/>
  <c r="E220" i="4"/>
  <c r="B221" i="4"/>
  <c r="C221" i="4"/>
  <c r="D221" i="4"/>
  <c r="E221" i="4"/>
  <c r="B222" i="4"/>
  <c r="C222" i="4"/>
  <c r="D222" i="4"/>
  <c r="E222" i="4"/>
  <c r="B223" i="4"/>
  <c r="C223" i="4"/>
  <c r="D223" i="4"/>
  <c r="E223" i="4"/>
  <c r="B224" i="4"/>
  <c r="C224" i="4"/>
  <c r="D224" i="4"/>
  <c r="E224" i="4"/>
  <c r="B225" i="4"/>
  <c r="C225" i="4"/>
  <c r="D225" i="4"/>
  <c r="E225" i="4"/>
  <c r="B226" i="4"/>
  <c r="C226" i="4"/>
  <c r="D226" i="4"/>
  <c r="E226" i="4"/>
  <c r="B227" i="4"/>
  <c r="C227" i="4"/>
  <c r="D227" i="4"/>
  <c r="E227" i="4"/>
  <c r="B228" i="4"/>
  <c r="C228" i="4"/>
  <c r="D228" i="4"/>
  <c r="E228" i="4"/>
  <c r="B229" i="4"/>
  <c r="C229" i="4"/>
  <c r="D229" i="4"/>
  <c r="E229" i="4"/>
  <c r="B230" i="4"/>
  <c r="C230" i="4"/>
  <c r="D230" i="4"/>
  <c r="E230" i="4"/>
  <c r="B231" i="4"/>
  <c r="C231" i="4"/>
  <c r="D231" i="4"/>
  <c r="E231" i="4"/>
  <c r="B232" i="4"/>
  <c r="C232" i="4"/>
  <c r="D232" i="4"/>
  <c r="E232" i="4"/>
  <c r="B233" i="4"/>
  <c r="C233" i="4"/>
  <c r="D233" i="4"/>
  <c r="E233" i="4"/>
  <c r="B234" i="4"/>
  <c r="C234" i="4"/>
  <c r="D234" i="4"/>
  <c r="E234" i="4"/>
  <c r="B235" i="4"/>
  <c r="C235" i="4"/>
  <c r="D235" i="4"/>
  <c r="E235" i="4"/>
  <c r="B236" i="4"/>
  <c r="C236" i="4"/>
  <c r="D236" i="4"/>
  <c r="E236" i="4"/>
  <c r="B237" i="4"/>
  <c r="C237" i="4"/>
  <c r="D237" i="4"/>
  <c r="E237" i="4"/>
  <c r="B238" i="4"/>
  <c r="C238" i="4"/>
  <c r="D238" i="4"/>
  <c r="E238" i="4"/>
  <c r="B239" i="4"/>
  <c r="C239" i="4"/>
  <c r="D239" i="4"/>
  <c r="E239" i="4"/>
  <c r="B240" i="4"/>
  <c r="C240" i="4"/>
  <c r="D240" i="4"/>
  <c r="E240" i="4"/>
  <c r="B241" i="4"/>
  <c r="C241" i="4"/>
  <c r="D241" i="4"/>
  <c r="E241" i="4"/>
  <c r="B242" i="4"/>
  <c r="C242" i="4"/>
  <c r="D242" i="4"/>
  <c r="E242" i="4"/>
  <c r="B243" i="4"/>
  <c r="C243" i="4"/>
  <c r="D243" i="4"/>
  <c r="E243" i="4"/>
  <c r="B244" i="4"/>
  <c r="C244" i="4"/>
  <c r="D244" i="4"/>
  <c r="E244" i="4"/>
  <c r="B245" i="4"/>
  <c r="C245" i="4"/>
  <c r="D245" i="4"/>
  <c r="E245" i="4"/>
  <c r="B246" i="4"/>
  <c r="C246" i="4"/>
  <c r="D246" i="4"/>
  <c r="E246" i="4"/>
  <c r="B247" i="4"/>
  <c r="C247" i="4"/>
  <c r="D247" i="4"/>
  <c r="E247" i="4"/>
  <c r="B248" i="4"/>
  <c r="C248" i="4"/>
  <c r="D248" i="4"/>
  <c r="E248" i="4"/>
  <c r="B249" i="4"/>
  <c r="C249" i="4"/>
  <c r="D249" i="4"/>
  <c r="E249" i="4"/>
  <c r="B250" i="4"/>
  <c r="C250" i="4"/>
  <c r="D250" i="4"/>
  <c r="E250" i="4"/>
  <c r="B251" i="4"/>
  <c r="C251" i="4"/>
  <c r="D251" i="4"/>
  <c r="E251" i="4"/>
  <c r="B252" i="4"/>
  <c r="C252" i="4"/>
  <c r="D252" i="4"/>
  <c r="E252" i="4"/>
  <c r="B253" i="4"/>
  <c r="C253" i="4"/>
  <c r="D253" i="4"/>
  <c r="E253" i="4"/>
  <c r="B254" i="4"/>
  <c r="C254" i="4"/>
  <c r="D254" i="4"/>
  <c r="E254" i="4"/>
  <c r="B255" i="4"/>
  <c r="C255" i="4"/>
  <c r="D255" i="4"/>
  <c r="E255" i="4"/>
  <c r="B256" i="4"/>
  <c r="C256" i="4"/>
  <c r="D256" i="4"/>
  <c r="E256" i="4"/>
  <c r="B257" i="4"/>
  <c r="C257" i="4"/>
  <c r="D257" i="4"/>
  <c r="E257" i="4"/>
  <c r="B258" i="4"/>
  <c r="C258" i="4"/>
  <c r="D258" i="4"/>
  <c r="E258" i="4"/>
  <c r="B259" i="4"/>
  <c r="C259" i="4"/>
  <c r="D259" i="4"/>
  <c r="E259" i="4"/>
  <c r="B260" i="4"/>
  <c r="C260" i="4"/>
  <c r="D260" i="4"/>
  <c r="E260" i="4"/>
  <c r="B261" i="4"/>
  <c r="C261" i="4"/>
  <c r="D261" i="4"/>
  <c r="E261" i="4"/>
  <c r="B262" i="4"/>
  <c r="C262" i="4"/>
  <c r="D262" i="4"/>
  <c r="E262" i="4"/>
  <c r="B263" i="4"/>
  <c r="C263" i="4"/>
  <c r="D263" i="4"/>
  <c r="E263" i="4"/>
  <c r="B264" i="4"/>
  <c r="C264" i="4"/>
  <c r="D264" i="4"/>
  <c r="E264" i="4"/>
  <c r="B265" i="4"/>
  <c r="C265" i="4"/>
  <c r="D265" i="4"/>
  <c r="E265" i="4"/>
  <c r="B266" i="4"/>
  <c r="C266" i="4"/>
  <c r="D266" i="4"/>
  <c r="E266" i="4"/>
  <c r="B267" i="4"/>
  <c r="C267" i="4"/>
  <c r="D267" i="4"/>
  <c r="E267" i="4"/>
  <c r="B268" i="4"/>
  <c r="C268" i="4"/>
  <c r="D268" i="4"/>
  <c r="E268" i="4"/>
  <c r="B269" i="4"/>
  <c r="C269" i="4"/>
  <c r="D269" i="4"/>
  <c r="E269" i="4"/>
  <c r="B270" i="4"/>
  <c r="C270" i="4"/>
  <c r="D270" i="4"/>
  <c r="E270" i="4"/>
  <c r="B271" i="4"/>
  <c r="C271" i="4"/>
  <c r="D271" i="4"/>
  <c r="E271" i="4"/>
  <c r="B272" i="4"/>
  <c r="C272" i="4"/>
  <c r="D272" i="4"/>
  <c r="E272" i="4"/>
  <c r="B273" i="4"/>
  <c r="C273" i="4"/>
  <c r="D273" i="4"/>
  <c r="E273" i="4"/>
  <c r="B274" i="4"/>
  <c r="C274" i="4"/>
  <c r="D274" i="4"/>
  <c r="E274" i="4"/>
  <c r="B275" i="4"/>
  <c r="C275" i="4"/>
  <c r="D275" i="4"/>
  <c r="E275" i="4"/>
  <c r="B276" i="4"/>
  <c r="C276" i="4"/>
  <c r="D276" i="4"/>
  <c r="E276" i="4"/>
  <c r="B277" i="4"/>
  <c r="C277" i="4"/>
  <c r="D277" i="4"/>
  <c r="E277" i="4"/>
  <c r="B278" i="4"/>
  <c r="C278" i="4"/>
  <c r="D278" i="4"/>
  <c r="E278" i="4"/>
  <c r="B279" i="4"/>
  <c r="C279" i="4"/>
  <c r="D279" i="4"/>
  <c r="E279" i="4"/>
  <c r="B280" i="4"/>
  <c r="C280" i="4"/>
  <c r="D280" i="4"/>
  <c r="E280" i="4"/>
  <c r="B281" i="4"/>
  <c r="C281" i="4"/>
  <c r="D281" i="4"/>
  <c r="E281" i="4"/>
  <c r="B282" i="4"/>
  <c r="C282" i="4"/>
  <c r="D282" i="4"/>
  <c r="E282" i="4"/>
  <c r="B283" i="4"/>
  <c r="C283" i="4"/>
  <c r="D283" i="4"/>
  <c r="E283" i="4"/>
  <c r="B284" i="4"/>
  <c r="C284" i="4"/>
  <c r="D284" i="4"/>
  <c r="E284" i="4"/>
  <c r="B285" i="4"/>
  <c r="C285" i="4"/>
  <c r="D285" i="4"/>
  <c r="E285" i="4"/>
  <c r="B286" i="4"/>
  <c r="C286" i="4"/>
  <c r="D286" i="4"/>
  <c r="E286" i="4"/>
  <c r="B287" i="4"/>
  <c r="C287" i="4"/>
  <c r="D287" i="4"/>
  <c r="E287" i="4"/>
  <c r="B288" i="4"/>
  <c r="C288" i="4"/>
  <c r="D288" i="4"/>
  <c r="E288" i="4"/>
  <c r="B289" i="4"/>
  <c r="C289" i="4"/>
  <c r="D289" i="4"/>
  <c r="E289" i="4"/>
  <c r="B290" i="4"/>
  <c r="C290" i="4"/>
  <c r="D290" i="4"/>
  <c r="E290" i="4"/>
  <c r="B291" i="4"/>
  <c r="C291" i="4"/>
  <c r="D291" i="4"/>
  <c r="E291" i="4"/>
  <c r="B292" i="4"/>
  <c r="C292" i="4"/>
  <c r="D292" i="4"/>
  <c r="E292" i="4"/>
  <c r="B293" i="4"/>
  <c r="C293" i="4"/>
  <c r="D293" i="4"/>
  <c r="E293" i="4"/>
  <c r="B294" i="4"/>
  <c r="C294" i="4"/>
  <c r="D294" i="4"/>
  <c r="E294" i="4"/>
  <c r="B295" i="4"/>
  <c r="C295" i="4"/>
  <c r="D295" i="4"/>
  <c r="E295" i="4"/>
  <c r="G21" i="4"/>
  <c r="G20" i="4"/>
  <c r="G18" i="4"/>
  <c r="E7" i="4" l="1"/>
  <c r="G7" i="4" s="1"/>
  <c r="F7" i="4" l="1"/>
  <c r="B88" i="4"/>
  <c r="B49" i="6" l="1"/>
  <c r="A49" i="6"/>
  <c r="A48" i="6"/>
  <c r="D48" i="6"/>
  <c r="B47" i="6"/>
  <c r="C92" i="4" l="1"/>
  <c r="E93" i="4"/>
  <c r="D93" i="4"/>
  <c r="B102" i="3" l="1"/>
  <c r="C102" i="3"/>
  <c r="D102" i="3"/>
  <c r="E102" i="3"/>
  <c r="F102" i="3"/>
  <c r="B103" i="3"/>
  <c r="C103" i="3"/>
  <c r="D103" i="3"/>
  <c r="E103" i="3"/>
  <c r="F103" i="3"/>
  <c r="B104" i="3"/>
  <c r="C104" i="3"/>
  <c r="D104" i="3"/>
  <c r="E104" i="3"/>
  <c r="F104" i="3"/>
  <c r="B105" i="3"/>
  <c r="C105" i="3"/>
  <c r="D105" i="3"/>
  <c r="E105" i="3"/>
  <c r="F105" i="3"/>
  <c r="F101" i="3"/>
  <c r="E101" i="3"/>
  <c r="D101" i="3"/>
  <c r="C101" i="3"/>
  <c r="B101" i="3"/>
  <c r="B91" i="3"/>
  <c r="C91" i="3"/>
  <c r="D91" i="3"/>
  <c r="E91" i="3"/>
  <c r="F91" i="3"/>
  <c r="B92" i="3"/>
  <c r="C92" i="3"/>
  <c r="D92" i="3"/>
  <c r="E92" i="3"/>
  <c r="F92" i="3"/>
  <c r="B93" i="3"/>
  <c r="C93" i="3"/>
  <c r="D93" i="3"/>
  <c r="E93" i="3"/>
  <c r="F93" i="3"/>
  <c r="B94" i="3"/>
  <c r="C94" i="3"/>
  <c r="D94" i="3"/>
  <c r="E94" i="3"/>
  <c r="F94" i="3"/>
  <c r="B95" i="3"/>
  <c r="C95" i="3"/>
  <c r="D95" i="3"/>
  <c r="E95" i="3"/>
  <c r="F95" i="3"/>
  <c r="B96" i="3"/>
  <c r="C96" i="3"/>
  <c r="D96" i="3"/>
  <c r="E96" i="3"/>
  <c r="F96" i="3"/>
  <c r="B97" i="3"/>
  <c r="C97" i="3"/>
  <c r="D97" i="3"/>
  <c r="E97" i="3"/>
  <c r="F97" i="3"/>
  <c r="B98" i="3"/>
  <c r="C98" i="3"/>
  <c r="D98" i="3"/>
  <c r="E98" i="3"/>
  <c r="F98" i="3"/>
  <c r="B99" i="3"/>
  <c r="C99" i="3"/>
  <c r="D99" i="3"/>
  <c r="E99" i="3"/>
  <c r="F99" i="3"/>
  <c r="B100" i="3"/>
  <c r="C100" i="3"/>
  <c r="D100" i="3"/>
  <c r="E100" i="3"/>
  <c r="F100" i="3"/>
  <c r="D90" i="3"/>
  <c r="B90" i="3"/>
  <c r="B72" i="3"/>
  <c r="B73" i="3"/>
  <c r="B74" i="3"/>
  <c r="B75" i="3"/>
  <c r="B76" i="3"/>
  <c r="B77" i="3"/>
  <c r="B78" i="3"/>
  <c r="B80" i="3"/>
  <c r="B81" i="3"/>
  <c r="B82" i="3"/>
  <c r="B83" i="3"/>
  <c r="B84" i="3"/>
  <c r="B85" i="3"/>
  <c r="B86" i="3"/>
  <c r="B87" i="3"/>
  <c r="B88" i="3"/>
  <c r="B89" i="3"/>
  <c r="E9" i="4" l="1"/>
  <c r="G9" i="4" s="1"/>
  <c r="F9" i="4" l="1"/>
  <c r="E11" i="4"/>
  <c r="G11" i="4" s="1"/>
  <c r="E12" i="4"/>
  <c r="F12" i="4" s="1"/>
  <c r="E13" i="4"/>
  <c r="G13" i="4" s="1"/>
  <c r="F13" i="4"/>
  <c r="E14" i="4"/>
  <c r="E15" i="4"/>
  <c r="E16" i="4"/>
  <c r="G16" i="4" s="1"/>
  <c r="E17" i="4"/>
  <c r="E18" i="4"/>
  <c r="F18" i="4" s="1"/>
  <c r="E19" i="4"/>
  <c r="G19" i="4" s="1"/>
  <c r="E20" i="4"/>
  <c r="F20" i="4"/>
  <c r="E21" i="4"/>
  <c r="F21" i="4" s="1"/>
  <c r="E43" i="4"/>
  <c r="F14" i="4" l="1"/>
  <c r="G14" i="4"/>
  <c r="F17" i="4"/>
  <c r="G17" i="4"/>
  <c r="F16" i="4"/>
  <c r="F15" i="4"/>
  <c r="G15" i="4"/>
  <c r="F19" i="4"/>
  <c r="F11" i="4"/>
  <c r="G12" i="4"/>
  <c r="E108" i="4" l="1"/>
  <c r="E109" i="4"/>
  <c r="E110" i="4"/>
  <c r="E111" i="4"/>
  <c r="E97" i="4"/>
  <c r="E98" i="4"/>
  <c r="E99" i="4"/>
  <c r="E100" i="4"/>
  <c r="E101" i="4"/>
  <c r="E102" i="4"/>
  <c r="E103" i="4"/>
  <c r="E104" i="4"/>
  <c r="E105" i="4"/>
  <c r="E106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4" i="4"/>
  <c r="E95" i="4"/>
  <c r="E78" i="4"/>
  <c r="A77" i="3" l="1"/>
  <c r="A89" i="3"/>
  <c r="A78" i="3" l="1"/>
  <c r="A105" i="3" l="1"/>
  <c r="A104" i="3"/>
  <c r="A103" i="3"/>
  <c r="A102" i="3"/>
  <c r="A101" i="3"/>
  <c r="A3" i="3" l="1"/>
  <c r="K191" i="6" l="1"/>
  <c r="J191" i="6"/>
  <c r="H192" i="6"/>
  <c r="G192" i="6"/>
  <c r="G191" i="6"/>
  <c r="H190" i="6"/>
  <c r="H189" i="6"/>
  <c r="B192" i="6"/>
  <c r="A192" i="6"/>
  <c r="E191" i="6"/>
  <c r="K180" i="6"/>
  <c r="E180" i="6"/>
  <c r="D191" i="6"/>
  <c r="A191" i="6"/>
  <c r="B190" i="6"/>
  <c r="B189" i="6"/>
  <c r="H181" i="6"/>
  <c r="G181" i="6"/>
  <c r="J180" i="6"/>
  <c r="G180" i="6"/>
  <c r="H179" i="6"/>
  <c r="H178" i="6"/>
  <c r="B181" i="6"/>
  <c r="A181" i="6"/>
  <c r="D180" i="6"/>
  <c r="A180" i="6"/>
  <c r="B179" i="6"/>
  <c r="B178" i="6"/>
  <c r="I172" i="6"/>
  <c r="H170" i="6"/>
  <c r="G170" i="6"/>
  <c r="K169" i="6"/>
  <c r="J169" i="6"/>
  <c r="G169" i="6"/>
  <c r="H168" i="6"/>
  <c r="H167" i="6"/>
  <c r="C88" i="3" l="1"/>
  <c r="D69" i="3" l="1"/>
  <c r="D56" i="3"/>
  <c r="D19" i="3"/>
  <c r="D5" i="3"/>
  <c r="B77" i="4" l="1"/>
  <c r="B8" i="3" l="1"/>
  <c r="B45" i="3" l="1"/>
  <c r="B46" i="3"/>
  <c r="B42" i="3"/>
  <c r="B41" i="3"/>
  <c r="A103" i="6" l="1"/>
  <c r="A104" i="6"/>
  <c r="A92" i="6"/>
  <c r="K92" i="6"/>
  <c r="J92" i="6"/>
  <c r="G92" i="6"/>
  <c r="H82" i="6"/>
  <c r="K81" i="6"/>
  <c r="J81" i="6"/>
  <c r="G81" i="6"/>
  <c r="E6" i="4" l="1"/>
  <c r="G6" i="4" s="1"/>
  <c r="E77" i="4"/>
  <c r="F6" i="4" l="1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4" i="4"/>
  <c r="D95" i="4"/>
  <c r="C97" i="4"/>
  <c r="D97" i="4"/>
  <c r="C98" i="4"/>
  <c r="D98" i="4"/>
  <c r="C99" i="4"/>
  <c r="D99" i="4"/>
  <c r="C100" i="4"/>
  <c r="D100" i="4"/>
  <c r="C101" i="4"/>
  <c r="D101" i="4"/>
  <c r="C102" i="4"/>
  <c r="D102" i="4"/>
  <c r="C103" i="4"/>
  <c r="D103" i="4"/>
  <c r="C104" i="4"/>
  <c r="D104" i="4"/>
  <c r="C105" i="4"/>
  <c r="D105" i="4"/>
  <c r="C106" i="4"/>
  <c r="D106" i="4"/>
  <c r="E96" i="4"/>
  <c r="D96" i="4"/>
  <c r="C96" i="4"/>
  <c r="B97" i="4"/>
  <c r="B98" i="4"/>
  <c r="B99" i="4"/>
  <c r="B100" i="4"/>
  <c r="B101" i="4"/>
  <c r="B102" i="4"/>
  <c r="B103" i="4"/>
  <c r="B104" i="4"/>
  <c r="B105" i="4"/>
  <c r="B106" i="4"/>
  <c r="B96" i="4"/>
  <c r="D41" i="4"/>
  <c r="F90" i="3" l="1"/>
  <c r="E90" i="3"/>
  <c r="E72" i="3"/>
  <c r="E73" i="3"/>
  <c r="E74" i="3"/>
  <c r="E75" i="3"/>
  <c r="E76" i="3"/>
  <c r="E77" i="3"/>
  <c r="E78" i="3"/>
  <c r="E80" i="3"/>
  <c r="E81" i="3"/>
  <c r="E82" i="3"/>
  <c r="E83" i="3"/>
  <c r="E84" i="3"/>
  <c r="E85" i="3"/>
  <c r="E86" i="3"/>
  <c r="E87" i="3"/>
  <c r="E88" i="3"/>
  <c r="E89" i="3"/>
  <c r="E71" i="3"/>
  <c r="C90" i="3"/>
  <c r="F8" i="3" l="1"/>
  <c r="F9" i="3"/>
  <c r="F10" i="3"/>
  <c r="F11" i="3"/>
  <c r="F12" i="3"/>
  <c r="F14" i="3"/>
  <c r="F15" i="3"/>
  <c r="F16" i="3"/>
  <c r="E8" i="3"/>
  <c r="E9" i="3"/>
  <c r="E10" i="3"/>
  <c r="E11" i="3"/>
  <c r="E12" i="3"/>
  <c r="E13" i="3"/>
  <c r="E14" i="3"/>
  <c r="E15" i="3"/>
  <c r="E16" i="3"/>
  <c r="D8" i="3"/>
  <c r="D9" i="3"/>
  <c r="D10" i="3"/>
  <c r="D11" i="3"/>
  <c r="D12" i="3"/>
  <c r="D13" i="3"/>
  <c r="D14" i="3"/>
  <c r="D15" i="3"/>
  <c r="D16" i="3"/>
  <c r="C8" i="3"/>
  <c r="C9" i="3"/>
  <c r="C10" i="3"/>
  <c r="C11" i="3"/>
  <c r="C12" i="3"/>
  <c r="C13" i="3"/>
  <c r="C14" i="3"/>
  <c r="C15" i="3"/>
  <c r="C16" i="3"/>
  <c r="B9" i="3"/>
  <c r="B10" i="3"/>
  <c r="B11" i="3"/>
  <c r="B12" i="3"/>
  <c r="B13" i="3"/>
  <c r="B14" i="3"/>
  <c r="B16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B22" i="3"/>
  <c r="B23" i="3"/>
  <c r="B24" i="3"/>
  <c r="B25" i="3"/>
  <c r="B26" i="3"/>
  <c r="B27" i="3"/>
  <c r="B29" i="3"/>
  <c r="B30" i="3"/>
  <c r="B31" i="3"/>
  <c r="B32" i="3"/>
  <c r="B33" i="3"/>
  <c r="B34" i="3"/>
  <c r="B35" i="3"/>
  <c r="B36" i="3"/>
  <c r="B37" i="3"/>
  <c r="B38" i="3"/>
  <c r="B39" i="3"/>
  <c r="B40" i="3"/>
  <c r="B43" i="3"/>
  <c r="B44" i="3"/>
  <c r="B47" i="3"/>
  <c r="B48" i="3"/>
  <c r="B49" i="3"/>
  <c r="B50" i="3"/>
  <c r="B51" i="3"/>
  <c r="B52" i="3"/>
  <c r="B53" i="3"/>
  <c r="F72" i="3"/>
  <c r="F73" i="3"/>
  <c r="F74" i="3"/>
  <c r="F75" i="3"/>
  <c r="F76" i="3"/>
  <c r="F77" i="3"/>
  <c r="F78" i="3"/>
  <c r="F80" i="3"/>
  <c r="F81" i="3"/>
  <c r="F82" i="3"/>
  <c r="F83" i="3"/>
  <c r="F84" i="3"/>
  <c r="F85" i="3"/>
  <c r="F86" i="3"/>
  <c r="F87" i="3"/>
  <c r="F88" i="3"/>
  <c r="F89" i="3"/>
  <c r="F71" i="3"/>
  <c r="C72" i="3"/>
  <c r="C73" i="3"/>
  <c r="C74" i="3"/>
  <c r="C75" i="3"/>
  <c r="C76" i="3"/>
  <c r="C77" i="3"/>
  <c r="C78" i="3"/>
  <c r="C80" i="3"/>
  <c r="C81" i="3"/>
  <c r="C82" i="3"/>
  <c r="C83" i="3"/>
  <c r="C84" i="3"/>
  <c r="C85" i="3"/>
  <c r="C86" i="3"/>
  <c r="C87" i="3"/>
  <c r="C89" i="3"/>
  <c r="B71" i="3"/>
  <c r="A56" i="3" l="1"/>
  <c r="A69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8" i="3"/>
  <c r="C59" i="3"/>
  <c r="C60" i="3"/>
  <c r="C61" i="3"/>
  <c r="C62" i="3"/>
  <c r="C63" i="3"/>
  <c r="C64" i="3"/>
  <c r="C65" i="3"/>
  <c r="C66" i="3"/>
  <c r="I51" i="7" l="1"/>
  <c r="C51" i="7"/>
  <c r="I40" i="7"/>
  <c r="C40" i="7"/>
  <c r="C29" i="7"/>
  <c r="I29" i="7"/>
  <c r="I18" i="7"/>
  <c r="C18" i="7"/>
  <c r="I7" i="7"/>
  <c r="C7" i="7"/>
  <c r="D72" i="3"/>
  <c r="D73" i="3"/>
  <c r="D74" i="3"/>
  <c r="D75" i="3"/>
  <c r="D76" i="3"/>
  <c r="D77" i="3"/>
  <c r="D78" i="3"/>
  <c r="D80" i="3"/>
  <c r="D81" i="3"/>
  <c r="D82" i="3"/>
  <c r="D83" i="3"/>
  <c r="D84" i="3"/>
  <c r="D85" i="3"/>
  <c r="D86" i="3"/>
  <c r="D87" i="3"/>
  <c r="D88" i="3"/>
  <c r="D89" i="3"/>
  <c r="D71" i="3"/>
  <c r="E58" i="3"/>
  <c r="E59" i="3"/>
  <c r="E60" i="3"/>
  <c r="E61" i="3"/>
  <c r="E62" i="3"/>
  <c r="E63" i="3"/>
  <c r="E64" i="3"/>
  <c r="E65" i="3"/>
  <c r="E66" i="3"/>
  <c r="D58" i="3"/>
  <c r="D59" i="3"/>
  <c r="D60" i="3"/>
  <c r="D61" i="3"/>
  <c r="D62" i="3"/>
  <c r="D63" i="3"/>
  <c r="D64" i="3"/>
  <c r="D65" i="3"/>
  <c r="D66" i="3"/>
  <c r="D21" i="3"/>
  <c r="D7" i="3"/>
  <c r="H126" i="6" l="1"/>
  <c r="G126" i="6"/>
  <c r="K125" i="6"/>
  <c r="J125" i="6"/>
  <c r="G125" i="6"/>
  <c r="H124" i="6"/>
  <c r="A125" i="6"/>
  <c r="B124" i="6"/>
  <c r="G107" i="1"/>
  <c r="H24" i="2" l="1"/>
  <c r="E5" i="4"/>
  <c r="G5" i="4" s="1"/>
  <c r="E8" i="4"/>
  <c r="G8" i="4" s="1"/>
  <c r="E10" i="4"/>
  <c r="G10" i="4" s="1"/>
  <c r="E4" i="4"/>
  <c r="G4" i="4" s="1"/>
  <c r="C95" i="4"/>
  <c r="A14" i="2"/>
  <c r="F10" i="4" l="1"/>
  <c r="F4" i="4"/>
  <c r="F8" i="4"/>
  <c r="F5" i="4"/>
  <c r="A60" i="5"/>
  <c r="E4" i="5"/>
  <c r="K4" i="6" l="1"/>
  <c r="I194" i="6"/>
  <c r="C194" i="6"/>
  <c r="I183" i="6"/>
  <c r="C183" i="6"/>
  <c r="C172" i="6"/>
  <c r="D169" i="6"/>
  <c r="E169" i="6"/>
  <c r="B170" i="6"/>
  <c r="A170" i="6"/>
  <c r="A169" i="6"/>
  <c r="B168" i="6"/>
  <c r="B167" i="6"/>
  <c r="I161" i="6"/>
  <c r="K158" i="6"/>
  <c r="J158" i="6"/>
  <c r="H159" i="6"/>
  <c r="G159" i="6"/>
  <c r="G158" i="6"/>
  <c r="H157" i="6"/>
  <c r="H156" i="6"/>
  <c r="C161" i="6"/>
  <c r="E158" i="6"/>
  <c r="D158" i="6"/>
  <c r="B159" i="6"/>
  <c r="A159" i="6"/>
  <c r="A158" i="6"/>
  <c r="B157" i="6"/>
  <c r="B156" i="6"/>
  <c r="I150" i="6"/>
  <c r="H148" i="6"/>
  <c r="G148" i="6"/>
  <c r="K147" i="6"/>
  <c r="J147" i="6"/>
  <c r="G147" i="6"/>
  <c r="H146" i="6"/>
  <c r="H145" i="6"/>
  <c r="C150" i="6"/>
  <c r="E147" i="6"/>
  <c r="D147" i="6"/>
  <c r="B148" i="6"/>
  <c r="A148" i="6"/>
  <c r="A147" i="6"/>
  <c r="B146" i="6"/>
  <c r="B145" i="6"/>
  <c r="I139" i="6"/>
  <c r="K136" i="6"/>
  <c r="J136" i="6"/>
  <c r="H137" i="6"/>
  <c r="G137" i="6"/>
  <c r="G136" i="6"/>
  <c r="H135" i="6"/>
  <c r="H134" i="6"/>
  <c r="C139" i="6"/>
  <c r="E136" i="6"/>
  <c r="D136" i="6"/>
  <c r="B137" i="6"/>
  <c r="A137" i="6"/>
  <c r="A136" i="6"/>
  <c r="B135" i="6"/>
  <c r="B134" i="6"/>
  <c r="I128" i="6"/>
  <c r="H123" i="6"/>
  <c r="C128" i="6"/>
  <c r="B126" i="6"/>
  <c r="A126" i="6"/>
  <c r="D125" i="6"/>
  <c r="E125" i="6"/>
  <c r="B123" i="6"/>
  <c r="I117" i="6"/>
  <c r="H115" i="6"/>
  <c r="G115" i="6"/>
  <c r="K114" i="6"/>
  <c r="J114" i="6"/>
  <c r="G114" i="6"/>
  <c r="H113" i="6"/>
  <c r="H112" i="6"/>
  <c r="C117" i="6"/>
  <c r="E114" i="6"/>
  <c r="D114" i="6"/>
  <c r="B115" i="6"/>
  <c r="A115" i="6"/>
  <c r="A114" i="6"/>
  <c r="B113" i="6"/>
  <c r="B112" i="6"/>
  <c r="I106" i="6"/>
  <c r="C106" i="6"/>
  <c r="E103" i="6"/>
  <c r="D103" i="6"/>
  <c r="B104" i="6"/>
  <c r="B102" i="6"/>
  <c r="B101" i="6"/>
  <c r="I95" i="6"/>
  <c r="H93" i="6"/>
  <c r="G93" i="6"/>
  <c r="H91" i="6"/>
  <c r="H90" i="6"/>
  <c r="C95" i="6"/>
  <c r="B93" i="6"/>
  <c r="E92" i="6"/>
  <c r="D92" i="6"/>
  <c r="A93" i="6"/>
  <c r="B91" i="6"/>
  <c r="B90" i="6"/>
  <c r="I84" i="6"/>
  <c r="G82" i="6"/>
  <c r="H80" i="6"/>
  <c r="H79" i="6"/>
  <c r="C84" i="6"/>
  <c r="E81" i="6"/>
  <c r="D81" i="6"/>
  <c r="B82" i="6"/>
  <c r="A82" i="6"/>
  <c r="A81" i="6"/>
  <c r="B80" i="6"/>
  <c r="B79" i="6"/>
  <c r="I73" i="6"/>
  <c r="K70" i="6"/>
  <c r="J70" i="6"/>
  <c r="H71" i="6"/>
  <c r="G71" i="6"/>
  <c r="G70" i="6"/>
  <c r="H69" i="6"/>
  <c r="H68" i="6"/>
  <c r="C73" i="6"/>
  <c r="E70" i="6"/>
  <c r="D70" i="6"/>
  <c r="B71" i="6"/>
  <c r="A71" i="6"/>
  <c r="A70" i="6"/>
  <c r="B69" i="6"/>
  <c r="B68" i="6"/>
  <c r="I62" i="6"/>
  <c r="C62" i="6"/>
  <c r="K59" i="6"/>
  <c r="J59" i="6"/>
  <c r="H60" i="6"/>
  <c r="G60" i="6"/>
  <c r="G59" i="6"/>
  <c r="H58" i="6"/>
  <c r="H57" i="6"/>
  <c r="E59" i="6"/>
  <c r="D59" i="6"/>
  <c r="B60" i="6"/>
  <c r="A60" i="6"/>
  <c r="A59" i="6"/>
  <c r="B58" i="6"/>
  <c r="B57" i="6"/>
  <c r="K48" i="6"/>
  <c r="J48" i="6"/>
  <c r="H49" i="6"/>
  <c r="G49" i="6"/>
  <c r="G48" i="6"/>
  <c r="H47" i="6"/>
  <c r="H46" i="6"/>
  <c r="B46" i="6"/>
  <c r="I40" i="6"/>
  <c r="H38" i="6"/>
  <c r="G38" i="6"/>
  <c r="K37" i="6"/>
  <c r="J37" i="6"/>
  <c r="G37" i="6"/>
  <c r="H36" i="6"/>
  <c r="H35" i="6"/>
  <c r="B38" i="6"/>
  <c r="E37" i="6"/>
  <c r="D37" i="6"/>
  <c r="A38" i="6"/>
  <c r="A37" i="6"/>
  <c r="B36" i="6"/>
  <c r="B35" i="6"/>
  <c r="H27" i="6"/>
  <c r="K26" i="6"/>
  <c r="J26" i="6"/>
  <c r="G27" i="6"/>
  <c r="G26" i="6"/>
  <c r="H25" i="6"/>
  <c r="H24" i="6"/>
  <c r="B27" i="6"/>
  <c r="A27" i="6"/>
  <c r="E26" i="6"/>
  <c r="D26" i="6"/>
  <c r="A26" i="6"/>
  <c r="A15" i="6"/>
  <c r="B25" i="6"/>
  <c r="B24" i="6"/>
  <c r="H16" i="6"/>
  <c r="G16" i="6"/>
  <c r="K15" i="6"/>
  <c r="J15" i="6"/>
  <c r="G15" i="6"/>
  <c r="H14" i="6"/>
  <c r="H13" i="6"/>
  <c r="B16" i="6"/>
  <c r="A16" i="6"/>
  <c r="E15" i="6"/>
  <c r="D15" i="6"/>
  <c r="B14" i="6"/>
  <c r="B13" i="6"/>
  <c r="H5" i="6"/>
  <c r="G5" i="6"/>
  <c r="J4" i="6"/>
  <c r="G4" i="6"/>
  <c r="H3" i="6"/>
  <c r="H2" i="6"/>
  <c r="B5" i="6"/>
  <c r="A5" i="6"/>
  <c r="E4" i="6"/>
  <c r="D4" i="6"/>
  <c r="A4" i="6"/>
  <c r="B3" i="6"/>
  <c r="B2" i="6"/>
  <c r="O18" i="5" l="1"/>
  <c r="O150" i="5" l="1"/>
  <c r="Q147" i="5"/>
  <c r="P147" i="5"/>
  <c r="N148" i="5"/>
  <c r="M148" i="5"/>
  <c r="M147" i="5"/>
  <c r="N146" i="5"/>
  <c r="N145" i="5"/>
  <c r="I150" i="5"/>
  <c r="K147" i="5"/>
  <c r="J147" i="5"/>
  <c r="H148" i="5"/>
  <c r="G148" i="5"/>
  <c r="G147" i="5"/>
  <c r="H146" i="5"/>
  <c r="H145" i="5"/>
  <c r="C150" i="5"/>
  <c r="E147" i="5"/>
  <c r="D147" i="5"/>
  <c r="B148" i="5"/>
  <c r="A148" i="5"/>
  <c r="A147" i="5"/>
  <c r="B146" i="5"/>
  <c r="B145" i="5"/>
  <c r="O139" i="5" l="1"/>
  <c r="Q136" i="5"/>
  <c r="N137" i="5"/>
  <c r="M137" i="5"/>
  <c r="P136" i="5"/>
  <c r="M136" i="5"/>
  <c r="N135" i="5"/>
  <c r="N134" i="5"/>
  <c r="I139" i="5"/>
  <c r="K136" i="5"/>
  <c r="J136" i="5"/>
  <c r="H137" i="5"/>
  <c r="G137" i="5"/>
  <c r="G136" i="5"/>
  <c r="H135" i="5"/>
  <c r="H134" i="5"/>
  <c r="C139" i="5"/>
  <c r="E136" i="5"/>
  <c r="D136" i="5"/>
  <c r="B137" i="5"/>
  <c r="A137" i="5"/>
  <c r="A136" i="5"/>
  <c r="B135" i="5"/>
  <c r="B134" i="5"/>
  <c r="O128" i="5"/>
  <c r="M126" i="5"/>
  <c r="N126" i="5"/>
  <c r="Q125" i="5"/>
  <c r="P125" i="5"/>
  <c r="M125" i="5"/>
  <c r="N124" i="5"/>
  <c r="N123" i="5"/>
  <c r="I128" i="5"/>
  <c r="K125" i="5"/>
  <c r="J125" i="5"/>
  <c r="H126" i="5"/>
  <c r="G126" i="5"/>
  <c r="G125" i="5"/>
  <c r="H124" i="5"/>
  <c r="H123" i="5"/>
  <c r="C128" i="5"/>
  <c r="E125" i="5"/>
  <c r="D125" i="5"/>
  <c r="B126" i="5"/>
  <c r="A126" i="5"/>
  <c r="A125" i="5"/>
  <c r="B124" i="5"/>
  <c r="B123" i="5"/>
  <c r="Q114" i="5"/>
  <c r="P114" i="5"/>
  <c r="N115" i="5"/>
  <c r="M115" i="5"/>
  <c r="N113" i="5"/>
  <c r="N112" i="5"/>
  <c r="O117" i="5"/>
  <c r="M114" i="5"/>
  <c r="I117" i="5"/>
  <c r="K114" i="5"/>
  <c r="J114" i="5"/>
  <c r="H115" i="5"/>
  <c r="G115" i="5"/>
  <c r="G114" i="5"/>
  <c r="H113" i="5"/>
  <c r="H112" i="5"/>
  <c r="C117" i="5"/>
  <c r="E114" i="5"/>
  <c r="D114" i="5"/>
  <c r="B115" i="5"/>
  <c r="A115" i="5"/>
  <c r="A114" i="5"/>
  <c r="B113" i="5"/>
  <c r="B112" i="5"/>
  <c r="O106" i="5"/>
  <c r="Q103" i="5"/>
  <c r="P103" i="5"/>
  <c r="N104" i="5"/>
  <c r="M104" i="5"/>
  <c r="M103" i="5"/>
  <c r="N102" i="5"/>
  <c r="N101" i="5"/>
  <c r="I106" i="5"/>
  <c r="H104" i="5"/>
  <c r="G104" i="5"/>
  <c r="K103" i="5"/>
  <c r="J103" i="5"/>
  <c r="G103" i="5"/>
  <c r="H102" i="5"/>
  <c r="H101" i="5"/>
  <c r="C106" i="5"/>
  <c r="E103" i="5"/>
  <c r="D103" i="5"/>
  <c r="B104" i="5"/>
  <c r="A104" i="5"/>
  <c r="A103" i="5"/>
  <c r="B102" i="5"/>
  <c r="B101" i="5"/>
  <c r="O95" i="5"/>
  <c r="Q92" i="5"/>
  <c r="P92" i="5"/>
  <c r="N93" i="5"/>
  <c r="M93" i="5"/>
  <c r="M92" i="5"/>
  <c r="N91" i="5"/>
  <c r="N90" i="5"/>
  <c r="I95" i="5"/>
  <c r="K92" i="5"/>
  <c r="J92" i="5"/>
  <c r="H93" i="5"/>
  <c r="G93" i="5"/>
  <c r="G92" i="5"/>
  <c r="H91" i="5"/>
  <c r="H90" i="5"/>
  <c r="C95" i="5"/>
  <c r="E92" i="5"/>
  <c r="D92" i="5"/>
  <c r="B93" i="5"/>
  <c r="A93" i="5"/>
  <c r="A92" i="5"/>
  <c r="B91" i="5"/>
  <c r="B90" i="5"/>
  <c r="O84" i="5"/>
  <c r="Q81" i="5"/>
  <c r="P81" i="5"/>
  <c r="N82" i="5"/>
  <c r="M82" i="5"/>
  <c r="M81" i="5"/>
  <c r="N80" i="5"/>
  <c r="I84" i="5"/>
  <c r="H82" i="5"/>
  <c r="G82" i="5"/>
  <c r="K81" i="5"/>
  <c r="J81" i="5"/>
  <c r="G81" i="5"/>
  <c r="H80" i="5"/>
  <c r="H79" i="5"/>
  <c r="C84" i="5"/>
  <c r="B82" i="5"/>
  <c r="E81" i="5"/>
  <c r="D81" i="5"/>
  <c r="A82" i="5"/>
  <c r="A81" i="5"/>
  <c r="B80" i="5"/>
  <c r="O73" i="5"/>
  <c r="P70" i="5"/>
  <c r="N71" i="5"/>
  <c r="M71" i="5"/>
  <c r="M70" i="5"/>
  <c r="N69" i="5"/>
  <c r="N68" i="5"/>
  <c r="Q70" i="5"/>
  <c r="I73" i="5"/>
  <c r="K70" i="5"/>
  <c r="J70" i="5"/>
  <c r="H71" i="5"/>
  <c r="G71" i="5"/>
  <c r="G70" i="5"/>
  <c r="H69" i="5"/>
  <c r="H68" i="5"/>
  <c r="C73" i="5"/>
  <c r="E70" i="5"/>
  <c r="D70" i="5"/>
  <c r="B71" i="5"/>
  <c r="A71" i="5"/>
  <c r="A70" i="5"/>
  <c r="B69" i="5"/>
  <c r="B68" i="5"/>
  <c r="O62" i="5" l="1"/>
  <c r="Q59" i="5"/>
  <c r="P59" i="5"/>
  <c r="N60" i="5"/>
  <c r="M60" i="5"/>
  <c r="M59" i="5"/>
  <c r="N58" i="5"/>
  <c r="N57" i="5"/>
  <c r="I62" i="5"/>
  <c r="K59" i="5"/>
  <c r="J59" i="5"/>
  <c r="H60" i="5"/>
  <c r="G60" i="5"/>
  <c r="G59" i="5"/>
  <c r="H58" i="5"/>
  <c r="C62" i="5"/>
  <c r="E59" i="5"/>
  <c r="D59" i="5"/>
  <c r="B60" i="5"/>
  <c r="A59" i="5"/>
  <c r="O51" i="5"/>
  <c r="Q48" i="5"/>
  <c r="P48" i="5"/>
  <c r="N49" i="5"/>
  <c r="M49" i="5"/>
  <c r="M48" i="5"/>
  <c r="N47" i="5"/>
  <c r="N46" i="5"/>
  <c r="K48" i="5"/>
  <c r="J48" i="5"/>
  <c r="H49" i="5"/>
  <c r="G49" i="5"/>
  <c r="G48" i="5"/>
  <c r="H47" i="5"/>
  <c r="E48" i="5"/>
  <c r="D48" i="5"/>
  <c r="B49" i="5"/>
  <c r="A49" i="5"/>
  <c r="A48" i="5"/>
  <c r="B47" i="5"/>
  <c r="O40" i="5"/>
  <c r="M38" i="5"/>
  <c r="N38" i="5"/>
  <c r="Q37" i="5"/>
  <c r="P37" i="5"/>
  <c r="M37" i="5"/>
  <c r="N36" i="5"/>
  <c r="K37" i="5"/>
  <c r="J37" i="5"/>
  <c r="H38" i="5"/>
  <c r="G38" i="5"/>
  <c r="G37" i="5"/>
  <c r="H36" i="5"/>
  <c r="B38" i="5"/>
  <c r="A38" i="5"/>
  <c r="E37" i="5"/>
  <c r="D37" i="5"/>
  <c r="A37" i="5"/>
  <c r="B36" i="5"/>
  <c r="N79" i="5"/>
  <c r="B79" i="5"/>
  <c r="H57" i="5"/>
  <c r="B57" i="5"/>
  <c r="H46" i="5"/>
  <c r="B46" i="5"/>
  <c r="N35" i="5"/>
  <c r="H35" i="5"/>
  <c r="B35" i="5"/>
  <c r="O29" i="5"/>
  <c r="Q26" i="5"/>
  <c r="P26" i="5"/>
  <c r="N27" i="5"/>
  <c r="M27" i="5"/>
  <c r="M26" i="5"/>
  <c r="N25" i="5"/>
  <c r="N24" i="5"/>
  <c r="H27" i="5"/>
  <c r="G27" i="5"/>
  <c r="K26" i="5"/>
  <c r="J26" i="5"/>
  <c r="G26" i="5"/>
  <c r="H25" i="5"/>
  <c r="H24" i="5"/>
  <c r="E26" i="5"/>
  <c r="D26" i="5"/>
  <c r="B27" i="5"/>
  <c r="A27" i="5"/>
  <c r="A26" i="5"/>
  <c r="B25" i="5"/>
  <c r="B24" i="5"/>
  <c r="Q15" i="5"/>
  <c r="P15" i="5"/>
  <c r="N16" i="5"/>
  <c r="M16" i="5"/>
  <c r="M15" i="5"/>
  <c r="N14" i="5"/>
  <c r="N13" i="5"/>
  <c r="K15" i="5"/>
  <c r="J15" i="5"/>
  <c r="H16" i="5"/>
  <c r="G16" i="5"/>
  <c r="G15" i="5"/>
  <c r="H14" i="5"/>
  <c r="H13" i="5"/>
  <c r="E15" i="5"/>
  <c r="D15" i="5"/>
  <c r="B16" i="5"/>
  <c r="A16" i="5"/>
  <c r="A15" i="5"/>
  <c r="B14" i="5"/>
  <c r="B13" i="5"/>
  <c r="C18" i="5"/>
  <c r="O7" i="5"/>
  <c r="Q4" i="5"/>
  <c r="P4" i="5"/>
  <c r="N5" i="5"/>
  <c r="M5" i="5"/>
  <c r="M4" i="5"/>
  <c r="N3" i="5"/>
  <c r="N2" i="5"/>
  <c r="H5" i="5"/>
  <c r="G5" i="5"/>
  <c r="K4" i="5"/>
  <c r="J4" i="5"/>
  <c r="G4" i="5"/>
  <c r="H3" i="5"/>
  <c r="H2" i="5"/>
  <c r="B5" i="5"/>
  <c r="A5" i="5"/>
  <c r="D4" i="5"/>
  <c r="A4" i="5"/>
  <c r="B3" i="5"/>
  <c r="B2" i="5"/>
  <c r="B58" i="5"/>
  <c r="I51" i="6"/>
  <c r="C51" i="6"/>
  <c r="E48" i="6"/>
  <c r="C40" i="6"/>
  <c r="I29" i="6"/>
  <c r="C29" i="6"/>
  <c r="I18" i="6"/>
  <c r="C18" i="6"/>
  <c r="I7" i="6"/>
  <c r="C7" i="6"/>
  <c r="I51" i="5"/>
  <c r="C51" i="5"/>
  <c r="I40" i="5"/>
  <c r="C40" i="5"/>
  <c r="I29" i="5"/>
  <c r="C29" i="5"/>
  <c r="I18" i="5"/>
  <c r="I7" i="5"/>
  <c r="C7" i="5"/>
  <c r="I50" i="2"/>
  <c r="H48" i="2"/>
  <c r="G48" i="2"/>
  <c r="K47" i="2"/>
  <c r="J47" i="2"/>
  <c r="G47" i="2"/>
  <c r="H46" i="2"/>
  <c r="H45" i="2"/>
  <c r="C50" i="2"/>
  <c r="B48" i="2"/>
  <c r="A48" i="2"/>
  <c r="E47" i="2"/>
  <c r="D47" i="2"/>
  <c r="A47" i="2"/>
  <c r="B46" i="2"/>
  <c r="B45" i="2"/>
  <c r="H37" i="2"/>
  <c r="G37" i="2"/>
  <c r="K36" i="2"/>
  <c r="J36" i="2"/>
  <c r="G36" i="2"/>
  <c r="I39" i="2"/>
  <c r="I28" i="2"/>
  <c r="I17" i="2"/>
  <c r="H35" i="2"/>
  <c r="H34" i="2"/>
  <c r="C39" i="2"/>
  <c r="E36" i="2"/>
  <c r="B37" i="2"/>
  <c r="A37" i="2"/>
  <c r="D36" i="2"/>
  <c r="A36" i="2"/>
  <c r="B35" i="2"/>
  <c r="B34" i="2"/>
  <c r="H26" i="2"/>
  <c r="G26" i="2"/>
  <c r="K25" i="2"/>
  <c r="J25" i="2"/>
  <c r="G25" i="2"/>
  <c r="H23" i="2"/>
  <c r="C28" i="2"/>
  <c r="C17" i="2"/>
  <c r="A26" i="2"/>
  <c r="B26" i="2"/>
  <c r="E25" i="2"/>
  <c r="D25" i="2"/>
  <c r="A25" i="2"/>
  <c r="B24" i="2"/>
  <c r="B23" i="2"/>
  <c r="H15" i="2"/>
  <c r="G15" i="2"/>
  <c r="K14" i="2"/>
  <c r="J14" i="2"/>
  <c r="G14" i="2"/>
  <c r="H13" i="2"/>
  <c r="H12" i="2"/>
  <c r="B2" i="2"/>
  <c r="B12" i="2"/>
  <c r="B15" i="2"/>
  <c r="A15" i="2"/>
  <c r="E14" i="2"/>
  <c r="D14" i="2"/>
  <c r="B13" i="2"/>
  <c r="I7" i="2"/>
  <c r="H5" i="2"/>
  <c r="G5" i="2"/>
  <c r="K4" i="2"/>
  <c r="J4" i="2"/>
  <c r="G4" i="2"/>
  <c r="H3" i="2"/>
  <c r="H2" i="2"/>
  <c r="B5" i="2"/>
  <c r="A5" i="2"/>
  <c r="E4" i="2"/>
  <c r="D4" i="2"/>
  <c r="A4" i="2"/>
  <c r="B3" i="2"/>
  <c r="C7" i="2" l="1"/>
  <c r="C71" i="3" l="1"/>
  <c r="B58" i="3"/>
  <c r="F58" i="3"/>
  <c r="B59" i="3"/>
  <c r="F59" i="3"/>
  <c r="B60" i="3"/>
  <c r="F60" i="3"/>
  <c r="B61" i="3"/>
  <c r="F61" i="3"/>
  <c r="B62" i="3"/>
  <c r="F62" i="3"/>
  <c r="B63" i="3"/>
  <c r="F63" i="3"/>
  <c r="B64" i="3"/>
  <c r="F64" i="3"/>
  <c r="B65" i="3"/>
  <c r="F65" i="3"/>
  <c r="B66" i="3"/>
  <c r="F66" i="3"/>
  <c r="F21" i="3"/>
  <c r="E21" i="3"/>
  <c r="C21" i="3"/>
  <c r="B21" i="3"/>
  <c r="F7" i="3"/>
  <c r="E7" i="3"/>
  <c r="C7" i="3"/>
  <c r="B7" i="3"/>
  <c r="E112" i="4"/>
  <c r="D112" i="4"/>
  <c r="C112" i="4"/>
  <c r="B112" i="4"/>
  <c r="B78" i="4"/>
  <c r="C78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B87" i="4"/>
  <c r="C87" i="4"/>
  <c r="C88" i="4"/>
  <c r="B89" i="4"/>
  <c r="C89" i="4"/>
  <c r="B90" i="4"/>
  <c r="C90" i="4"/>
  <c r="B91" i="4"/>
  <c r="C91" i="4"/>
  <c r="B92" i="4"/>
  <c r="B93" i="4"/>
  <c r="C93" i="4"/>
  <c r="B94" i="4"/>
  <c r="C94" i="4"/>
  <c r="B95" i="4"/>
  <c r="B107" i="4"/>
  <c r="C107" i="4"/>
  <c r="D107" i="4"/>
  <c r="E107" i="4"/>
  <c r="B108" i="4"/>
  <c r="C108" i="4"/>
  <c r="D108" i="4"/>
  <c r="B109" i="4"/>
  <c r="C109" i="4"/>
  <c r="D109" i="4"/>
  <c r="B110" i="4"/>
  <c r="C110" i="4"/>
  <c r="D110" i="4"/>
  <c r="B111" i="4"/>
  <c r="C111" i="4"/>
  <c r="D111" i="4"/>
  <c r="B36" i="4"/>
  <c r="C36" i="4"/>
  <c r="D36" i="4"/>
  <c r="E36" i="4"/>
  <c r="B37" i="4"/>
  <c r="C37" i="4"/>
  <c r="D37" i="4"/>
  <c r="E37" i="4"/>
  <c r="B38" i="4"/>
  <c r="C38" i="4"/>
  <c r="D38" i="4"/>
  <c r="E38" i="4"/>
  <c r="B39" i="4"/>
  <c r="C39" i="4"/>
  <c r="D39" i="4"/>
  <c r="E39" i="4"/>
  <c r="B40" i="4"/>
  <c r="C40" i="4"/>
  <c r="D40" i="4"/>
  <c r="E40" i="4"/>
  <c r="B41" i="4"/>
  <c r="C41" i="4"/>
  <c r="E41" i="4"/>
  <c r="B42" i="4"/>
  <c r="C42" i="4"/>
  <c r="D42" i="4"/>
  <c r="E42" i="4"/>
  <c r="B43" i="4"/>
  <c r="C43" i="4"/>
  <c r="D43" i="4"/>
  <c r="B44" i="4"/>
  <c r="C44" i="4"/>
  <c r="D44" i="4"/>
  <c r="E44" i="4"/>
  <c r="B45" i="4"/>
  <c r="C45" i="4"/>
  <c r="D45" i="4"/>
  <c r="E45" i="4"/>
  <c r="B46" i="4"/>
  <c r="C46" i="4"/>
  <c r="D46" i="4"/>
  <c r="E46" i="4"/>
  <c r="B47" i="4"/>
  <c r="C47" i="4"/>
  <c r="D47" i="4"/>
  <c r="E47" i="4"/>
  <c r="B48" i="4"/>
  <c r="C48" i="4"/>
  <c r="D48" i="4"/>
  <c r="E48" i="4"/>
  <c r="B49" i="4"/>
  <c r="C49" i="4"/>
  <c r="D49" i="4"/>
  <c r="E49" i="4"/>
  <c r="B50" i="4"/>
  <c r="C50" i="4"/>
  <c r="D50" i="4"/>
  <c r="E50" i="4"/>
  <c r="B51" i="4"/>
  <c r="C51" i="4"/>
  <c r="D51" i="4"/>
  <c r="E51" i="4"/>
  <c r="B52" i="4"/>
  <c r="C52" i="4"/>
  <c r="D52" i="4"/>
  <c r="E52" i="4"/>
  <c r="B53" i="4"/>
  <c r="C53" i="4"/>
  <c r="D53" i="4"/>
  <c r="E53" i="4"/>
  <c r="B54" i="4"/>
  <c r="C54" i="4"/>
  <c r="D54" i="4"/>
  <c r="E54" i="4"/>
  <c r="B55" i="4"/>
  <c r="C55" i="4"/>
  <c r="D55" i="4"/>
  <c r="E55" i="4"/>
  <c r="B56" i="4"/>
  <c r="C56" i="4"/>
  <c r="D56" i="4"/>
  <c r="E56" i="4"/>
  <c r="B57" i="4"/>
  <c r="C57" i="4"/>
  <c r="E57" i="4"/>
  <c r="B58" i="4"/>
  <c r="C58" i="4"/>
  <c r="D58" i="4"/>
  <c r="E58" i="4"/>
  <c r="B59" i="4"/>
  <c r="C59" i="4"/>
  <c r="D59" i="4"/>
  <c r="E59" i="4"/>
  <c r="B60" i="4"/>
  <c r="C60" i="4"/>
  <c r="D60" i="4"/>
  <c r="E60" i="4"/>
  <c r="B61" i="4"/>
  <c r="C61" i="4"/>
  <c r="D61" i="4"/>
  <c r="E61" i="4"/>
  <c r="B62" i="4"/>
  <c r="C62" i="4"/>
  <c r="D62" i="4"/>
  <c r="E62" i="4"/>
  <c r="B63" i="4"/>
  <c r="C63" i="4"/>
  <c r="D63" i="4"/>
  <c r="E63" i="4"/>
  <c r="B64" i="4"/>
  <c r="C64" i="4"/>
  <c r="D64" i="4"/>
  <c r="E64" i="4"/>
  <c r="B65" i="4"/>
  <c r="C65" i="4"/>
  <c r="D65" i="4"/>
  <c r="E65" i="4"/>
  <c r="B66" i="4"/>
  <c r="C66" i="4"/>
  <c r="D66" i="4"/>
  <c r="E66" i="4"/>
  <c r="B67" i="4"/>
  <c r="C67" i="4"/>
  <c r="D67" i="4"/>
  <c r="E67" i="4"/>
  <c r="B68" i="4"/>
  <c r="C68" i="4"/>
  <c r="D68" i="4"/>
  <c r="E68" i="4"/>
  <c r="B69" i="4"/>
  <c r="C69" i="4"/>
  <c r="D69" i="4"/>
  <c r="E69" i="4"/>
  <c r="B70" i="4"/>
  <c r="C70" i="4"/>
  <c r="D70" i="4"/>
  <c r="E70" i="4"/>
  <c r="B71" i="4"/>
  <c r="C71" i="4"/>
  <c r="D71" i="4"/>
  <c r="E71" i="4"/>
  <c r="B72" i="4"/>
  <c r="C72" i="4"/>
  <c r="D72" i="4"/>
  <c r="E72" i="4"/>
  <c r="B73" i="4"/>
  <c r="C73" i="4"/>
  <c r="D73" i="4"/>
  <c r="E73" i="4"/>
  <c r="B74" i="4"/>
  <c r="C74" i="4"/>
  <c r="D74" i="4"/>
  <c r="E74" i="4"/>
  <c r="B75" i="4"/>
  <c r="C75" i="4"/>
  <c r="D75" i="4"/>
  <c r="E75" i="4"/>
  <c r="B76" i="4"/>
  <c r="C76" i="4"/>
  <c r="D76" i="4"/>
  <c r="E76" i="4"/>
  <c r="E35" i="4"/>
  <c r="D35" i="4"/>
  <c r="C35" i="4"/>
  <c r="B35" i="4"/>
  <c r="B26" i="4"/>
  <c r="C26" i="4"/>
  <c r="D26" i="4"/>
  <c r="E26" i="4"/>
  <c r="B27" i="4"/>
  <c r="C27" i="4"/>
  <c r="D27" i="4"/>
  <c r="E27" i="4"/>
  <c r="B28" i="4"/>
  <c r="D28" i="4"/>
  <c r="B29" i="4"/>
  <c r="C29" i="4"/>
  <c r="D29" i="4"/>
  <c r="E29" i="4"/>
  <c r="B30" i="4"/>
  <c r="C30" i="4"/>
  <c r="D30" i="4"/>
  <c r="E30" i="4"/>
  <c r="B31" i="4"/>
  <c r="D31" i="4"/>
  <c r="E31" i="4"/>
  <c r="B32" i="4"/>
  <c r="C32" i="4"/>
  <c r="D32" i="4"/>
  <c r="E32" i="4"/>
  <c r="B33" i="4"/>
  <c r="C33" i="4"/>
  <c r="D33" i="4"/>
  <c r="E33" i="4"/>
  <c r="B34" i="4"/>
  <c r="D34" i="4"/>
  <c r="E34" i="4"/>
  <c r="E25" i="4"/>
  <c r="D25" i="4"/>
  <c r="C25" i="4"/>
  <c r="B25" i="4"/>
  <c r="B2" i="4" l="1"/>
  <c r="D77" i="4"/>
  <c r="C77" i="4"/>
  <c r="A5" i="3"/>
  <c r="A19" i="3" s="1"/>
  <c r="A107" i="1"/>
  <c r="G66" i="1" l="1"/>
  <c r="A66" i="1"/>
  <c r="G20" i="1" l="1"/>
  <c r="G6" i="1"/>
  <c r="A6" i="1"/>
</calcChain>
</file>

<file path=xl/sharedStrings.xml><?xml version="1.0" encoding="utf-8"?>
<sst xmlns="http://schemas.openxmlformats.org/spreadsheetml/2006/main" count="1783" uniqueCount="335">
  <si>
    <t xml:space="preserve">Mapa do Lactário </t>
  </si>
  <si>
    <t>LM</t>
  </si>
  <si>
    <t>LEITO</t>
  </si>
  <si>
    <t>NOME DO PACIENTE</t>
  </si>
  <si>
    <t>VOLUME</t>
  </si>
  <si>
    <t>HORÁRIOS</t>
  </si>
  <si>
    <t>FÓRMULA</t>
  </si>
  <si>
    <t>OBSERVAÇÃO</t>
  </si>
  <si>
    <t>DATA:</t>
  </si>
  <si>
    <t>VIA</t>
  </si>
  <si>
    <t>4101 A</t>
  </si>
  <si>
    <t>4101 B</t>
  </si>
  <si>
    <t>4101 C</t>
  </si>
  <si>
    <t>4102 A</t>
  </si>
  <si>
    <t>4102 B</t>
  </si>
  <si>
    <t>4102 C</t>
  </si>
  <si>
    <t>4103 A</t>
  </si>
  <si>
    <t>4103 B</t>
  </si>
  <si>
    <t>4103 C</t>
  </si>
  <si>
    <t>4104 A</t>
  </si>
  <si>
    <t>4104 B</t>
  </si>
  <si>
    <t>4104 C</t>
  </si>
  <si>
    <t>4105 A</t>
  </si>
  <si>
    <t>4105 B</t>
  </si>
  <si>
    <t>4105 C</t>
  </si>
  <si>
    <t>4106 A</t>
  </si>
  <si>
    <t>4106 B</t>
  </si>
  <si>
    <t>4106 C</t>
  </si>
  <si>
    <t>4107 A</t>
  </si>
  <si>
    <t>4107 B</t>
  </si>
  <si>
    <t>4107 C</t>
  </si>
  <si>
    <t>4108 A</t>
  </si>
  <si>
    <t>4108 B</t>
  </si>
  <si>
    <t>4108 C</t>
  </si>
  <si>
    <t>4109 A</t>
  </si>
  <si>
    <t>4109 B</t>
  </si>
  <si>
    <t>4109 C</t>
  </si>
  <si>
    <t>4110 A</t>
  </si>
  <si>
    <t>4110 B</t>
  </si>
  <si>
    <t>4110 C</t>
  </si>
  <si>
    <t>4111 A</t>
  </si>
  <si>
    <t>4111 B</t>
  </si>
  <si>
    <t>4111 C</t>
  </si>
  <si>
    <t>4112 A</t>
  </si>
  <si>
    <t>4112 B</t>
  </si>
  <si>
    <t>4112 C</t>
  </si>
  <si>
    <t>4113 A</t>
  </si>
  <si>
    <t>4113 B</t>
  </si>
  <si>
    <t>4113 C</t>
  </si>
  <si>
    <t>4114 A</t>
  </si>
  <si>
    <t>4114 B</t>
  </si>
  <si>
    <t>4114 C</t>
  </si>
  <si>
    <t>INTERNAÇÃO PEDIÁTRICA</t>
  </si>
  <si>
    <t>UTI PEDIÁTRICA</t>
  </si>
  <si>
    <t>UTI NEONATAL</t>
  </si>
  <si>
    <t>UI MÉTODO CANGURÚ</t>
  </si>
  <si>
    <t>SNE</t>
  </si>
  <si>
    <t>VOLUME (ml)</t>
  </si>
  <si>
    <t>FL 1º SEMESTRE</t>
  </si>
  <si>
    <t>VO</t>
  </si>
  <si>
    <t>SOG</t>
  </si>
  <si>
    <t>FL PREMATURO</t>
  </si>
  <si>
    <t>ALOJAMENTO CONJUNTO</t>
  </si>
  <si>
    <t>9001 A</t>
  </si>
  <si>
    <t>9001 B</t>
  </si>
  <si>
    <t>9002 A</t>
  </si>
  <si>
    <t>9002 B</t>
  </si>
  <si>
    <t>9003 A</t>
  </si>
  <si>
    <t>9003 B</t>
  </si>
  <si>
    <t>9004 A</t>
  </si>
  <si>
    <t>9004 B</t>
  </si>
  <si>
    <t>9005 A</t>
  </si>
  <si>
    <t>9005 B</t>
  </si>
  <si>
    <t>9006 A</t>
  </si>
  <si>
    <t>9006 B</t>
  </si>
  <si>
    <t>9007 A</t>
  </si>
  <si>
    <t>9007 B</t>
  </si>
  <si>
    <t>9008 A</t>
  </si>
  <si>
    <t>9008 B</t>
  </si>
  <si>
    <t>9009 A</t>
  </si>
  <si>
    <t>9009 B</t>
  </si>
  <si>
    <t>9010 A</t>
  </si>
  <si>
    <t>9010 B</t>
  </si>
  <si>
    <t>9011 A</t>
  </si>
  <si>
    <t>9011 B</t>
  </si>
  <si>
    <t>9012 A</t>
  </si>
  <si>
    <t>9012 B</t>
  </si>
  <si>
    <t>9013 A</t>
  </si>
  <si>
    <t>9013 B</t>
  </si>
  <si>
    <t>9014 A</t>
  </si>
  <si>
    <t>9014 B</t>
  </si>
  <si>
    <t>9015 A</t>
  </si>
  <si>
    <t>9015 B</t>
  </si>
  <si>
    <t>9016 A</t>
  </si>
  <si>
    <t>9016 B</t>
  </si>
  <si>
    <t>9017 A</t>
  </si>
  <si>
    <t>9017 B</t>
  </si>
  <si>
    <t>9018 A</t>
  </si>
  <si>
    <t>9018 B</t>
  </si>
  <si>
    <t>9019 A</t>
  </si>
  <si>
    <t>9019 B</t>
  </si>
  <si>
    <t>9020 A</t>
  </si>
  <si>
    <t>9020 B</t>
  </si>
  <si>
    <t>9024 A</t>
  </si>
  <si>
    <t>9024 B</t>
  </si>
  <si>
    <t>9025 A</t>
  </si>
  <si>
    <t>9025 B</t>
  </si>
  <si>
    <t>9026 A</t>
  </si>
  <si>
    <t>9026 B</t>
  </si>
  <si>
    <t>9027 A</t>
  </si>
  <si>
    <t>9027 B</t>
  </si>
  <si>
    <t>9028 A</t>
  </si>
  <si>
    <t>9028 B</t>
  </si>
  <si>
    <t>9029 A</t>
  </si>
  <si>
    <t>9029 B</t>
  </si>
  <si>
    <t>9030 A</t>
  </si>
  <si>
    <t>9030 B</t>
  </si>
  <si>
    <t>9031 A</t>
  </si>
  <si>
    <t>9031 B</t>
  </si>
  <si>
    <t>9032 A</t>
  </si>
  <si>
    <t>9032 B</t>
  </si>
  <si>
    <t>RECEBIMENTO</t>
  </si>
  <si>
    <t>FREQUÊNCIA</t>
  </si>
  <si>
    <t>ESTATÍSTICA</t>
  </si>
  <si>
    <t>Fórmula</t>
  </si>
  <si>
    <t>Diluição</t>
  </si>
  <si>
    <t>vol. horário</t>
  </si>
  <si>
    <t>vol. horário + amostra</t>
  </si>
  <si>
    <t>LACTÁRIO</t>
  </si>
  <si>
    <t>Lote</t>
  </si>
  <si>
    <t>Funcionário</t>
  </si>
  <si>
    <t>PROTOCOLO DE ENTREGA</t>
  </si>
  <si>
    <t>Leito:</t>
  </si>
  <si>
    <t>Nome:</t>
  </si>
  <si>
    <t>ml</t>
  </si>
  <si>
    <t>Via:</t>
  </si>
  <si>
    <t>Manipulação:</t>
  </si>
  <si>
    <t>Horário :</t>
  </si>
  <si>
    <t>Temperatura para conservação até 5°C</t>
  </si>
  <si>
    <t>RT: Tatiana Betina Nantal - CRN2 2240</t>
  </si>
  <si>
    <t>00h - 06h - 09h - 12h - 15h - 18h - 21h</t>
  </si>
  <si>
    <t>ETIQUETA LACTÁRIO - UTI PEDIÁTRICA</t>
  </si>
  <si>
    <t>ETIQUETA LACTÁRIO - INTERNAÇÃO PEDIÁTRICA</t>
  </si>
  <si>
    <t>RETAGUARDA</t>
  </si>
  <si>
    <t>ETIQUETA LACTÁRIO - UTI NEONATAL</t>
  </si>
  <si>
    <t>ETIQUETA LACTÁRIO - Alojamento Conjunto</t>
  </si>
  <si>
    <t>-</t>
  </si>
  <si>
    <t>Infatrini</t>
  </si>
  <si>
    <t xml:space="preserve">VOLUME </t>
  </si>
  <si>
    <t>00h - 03h - 06h - 09h - 12h - 15h - 18h - 21h</t>
  </si>
  <si>
    <t>10h-10:30   16h - 16:30   22h-22:30    04h- 04:30</t>
  </si>
  <si>
    <t>3/3H</t>
  </si>
  <si>
    <t>9120 A</t>
  </si>
  <si>
    <t>9120 B</t>
  </si>
  <si>
    <t>9121 A</t>
  </si>
  <si>
    <t>9121 B</t>
  </si>
  <si>
    <t>9122 A</t>
  </si>
  <si>
    <t>9122 B</t>
  </si>
  <si>
    <t>9123 A</t>
  </si>
  <si>
    <t>9123 B</t>
  </si>
  <si>
    <t>9124 A</t>
  </si>
  <si>
    <t>9124 B</t>
  </si>
  <si>
    <t>9125 A</t>
  </si>
  <si>
    <t>9125 B</t>
  </si>
  <si>
    <t>9126 A</t>
  </si>
  <si>
    <t>9126 B</t>
  </si>
  <si>
    <t>9127 A</t>
  </si>
  <si>
    <t>9127 B</t>
  </si>
  <si>
    <t>9128 A</t>
  </si>
  <si>
    <t>9128 B</t>
  </si>
  <si>
    <t>9129 A</t>
  </si>
  <si>
    <t>9129 B</t>
  </si>
  <si>
    <t>9130 A</t>
  </si>
  <si>
    <t>9130 B</t>
  </si>
  <si>
    <t>9131 A</t>
  </si>
  <si>
    <t>9131 B</t>
  </si>
  <si>
    <t>9132 A</t>
  </si>
  <si>
    <t>9132 B</t>
  </si>
  <si>
    <r>
      <t>Validade:  Consumir em até 2</t>
    </r>
    <r>
      <rPr>
        <b/>
        <sz val="8"/>
        <color theme="1"/>
        <rFont val="Browallia New"/>
        <family val="2"/>
      </rPr>
      <t>h</t>
    </r>
    <r>
      <rPr>
        <sz val="8"/>
        <color theme="1"/>
        <rFont val="Browallia New"/>
        <family val="2"/>
      </rPr>
      <t xml:space="preserve"> após a entrega.</t>
    </r>
  </si>
  <si>
    <t>3/3h (-3H)</t>
  </si>
  <si>
    <t>FL PREMATURO (Aptamil Pré)</t>
  </si>
  <si>
    <t>FL TRANSIÇÃO (Aptamil Pré Transition)</t>
  </si>
  <si>
    <t>FL 1º SEMESTRE (Nestogeno 1)</t>
  </si>
  <si>
    <t>FL 2º SEMESTRE (Nan 2)</t>
  </si>
  <si>
    <t>FL ANTI-REFLUXO (Nan AR)</t>
  </si>
  <si>
    <t>FL HIDROLISADA (Pregomin)</t>
  </si>
  <si>
    <t>FL AA (Neocate)</t>
  </si>
  <si>
    <t>Fortini 20,3%</t>
  </si>
  <si>
    <t>Fortini 25,1%</t>
  </si>
  <si>
    <t>Fortini 30%</t>
  </si>
  <si>
    <r>
      <t xml:space="preserve">Validade:  Consumir em até </t>
    </r>
    <r>
      <rPr>
        <b/>
        <sz val="8"/>
        <color theme="1"/>
        <rFont val="Browallia New"/>
        <family val="2"/>
      </rPr>
      <t>1h</t>
    </r>
    <r>
      <rPr>
        <sz val="8"/>
        <color theme="1"/>
        <rFont val="Browallia New"/>
        <family val="2"/>
      </rPr>
      <t xml:space="preserve"> após a entrega.</t>
    </r>
  </si>
  <si>
    <r>
      <t>Validade:  Consumir em até 1</t>
    </r>
    <r>
      <rPr>
        <b/>
        <sz val="8"/>
        <color theme="1"/>
        <rFont val="Browallia New"/>
        <family val="2"/>
      </rPr>
      <t>h</t>
    </r>
    <r>
      <rPr>
        <sz val="8"/>
        <color theme="1"/>
        <rFont val="Browallia New"/>
        <family val="2"/>
      </rPr>
      <t xml:space="preserve"> após a entrega.</t>
    </r>
  </si>
  <si>
    <t>1º SEMESTRE</t>
  </si>
  <si>
    <t>Horário:</t>
  </si>
  <si>
    <t xml:space="preserve">Leito: </t>
  </si>
  <si>
    <t xml:space="preserve">Nome: </t>
  </si>
  <si>
    <r>
      <t xml:space="preserve"> fórmula                </t>
    </r>
    <r>
      <rPr>
        <b/>
        <sz val="9"/>
        <color theme="1"/>
        <rFont val="Calibri"/>
        <family val="2"/>
        <scheme val="minor"/>
      </rPr>
      <t>(2 horários - g)</t>
    </r>
  </si>
  <si>
    <t>Água              (ml)</t>
  </si>
  <si>
    <t xml:space="preserve"> </t>
  </si>
  <si>
    <t>RN DE DEZERRE DA ROSA AGUIRRE (Murilo)</t>
  </si>
  <si>
    <t>FRASCO AGUA 300ML -06H</t>
  </si>
  <si>
    <t>FL 1º SEMESTRE 20% (Nestogeno 1)</t>
  </si>
  <si>
    <t xml:space="preserve">                       </t>
  </si>
  <si>
    <t>3/3H (-3H-24H)</t>
  </si>
  <si>
    <t xml:space="preserve">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</si>
  <si>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</si>
  <si>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SNG</t>
  </si>
  <si>
    <t>FL HIDROLISADA (Pregomin) 14,9%</t>
  </si>
  <si>
    <t>FL HIDROLISADA (Pregomin) 19,5%</t>
  </si>
  <si>
    <t>FL 2º SEMESTRE (Nestogeno 2)</t>
  </si>
  <si>
    <t>FL 2º SEMESTRE (Aptamil 2)</t>
  </si>
  <si>
    <t>FL 2º SEMESTRE  21% (Nestogeno 2)</t>
  </si>
  <si>
    <t>FORTINI (18,3%)</t>
  </si>
  <si>
    <t>FL 1º SEMESTRE (Aptamil 1)</t>
  </si>
  <si>
    <t>UI CUIDADOS INTEMEDIÁRIOS</t>
  </si>
  <si>
    <t>5013 B</t>
  </si>
  <si>
    <t>5013 A</t>
  </si>
  <si>
    <t>5011 A</t>
  </si>
  <si>
    <t>5005 B</t>
  </si>
  <si>
    <t>RN DE MAIRA ALEXANDRA (Augusto)</t>
  </si>
  <si>
    <t>5007 A</t>
  </si>
  <si>
    <t>5006 B</t>
  </si>
  <si>
    <t>5008 A</t>
  </si>
  <si>
    <t>5019 B</t>
  </si>
  <si>
    <t>5012 A</t>
  </si>
  <si>
    <t>5005 A</t>
  </si>
  <si>
    <t>5006 A</t>
  </si>
  <si>
    <t>5008 B</t>
  </si>
  <si>
    <t>5012 B</t>
  </si>
  <si>
    <t>4113A</t>
  </si>
  <si>
    <t>RN GABRIELA DIAS BERTODO (Gabriel)</t>
  </si>
  <si>
    <t>5018 C</t>
  </si>
  <si>
    <t>AGATHA GABRIELE DA COSTA, 1A8M</t>
  </si>
  <si>
    <t>MARIA FLOR KIELING DA ROSA, 1A7M</t>
  </si>
  <si>
    <t>LUIZ FELIPE ELIAS SILVA, 9M</t>
  </si>
  <si>
    <t>OTAVIO DA SILVEIRA LEMOS,6M</t>
  </si>
  <si>
    <t>BIANCA GABRIELLY MACHADO, 6M</t>
  </si>
  <si>
    <t>ALICE MANUELLA DORNELES, 8M</t>
  </si>
  <si>
    <t>FL 2º SEMESTRE</t>
  </si>
  <si>
    <t>RN VIRGINIA AGNES DA SILVA (Fernando)</t>
  </si>
  <si>
    <t>FORTINI</t>
  </si>
  <si>
    <t xml:space="preserve">5016 B  </t>
  </si>
  <si>
    <t>5016 A</t>
  </si>
  <si>
    <t>5019 A</t>
  </si>
  <si>
    <t>5020 A</t>
  </si>
  <si>
    <t>5020 B</t>
  </si>
  <si>
    <t>5019 C</t>
  </si>
  <si>
    <t>5020 C</t>
  </si>
  <si>
    <t xml:space="preserve">5005 C </t>
  </si>
  <si>
    <t>5006 C</t>
  </si>
  <si>
    <t>5007 C</t>
  </si>
  <si>
    <t>5007 B</t>
  </si>
  <si>
    <t>5009 A</t>
  </si>
  <si>
    <t>5009 B</t>
  </si>
  <si>
    <t>5009 C</t>
  </si>
  <si>
    <t>5010 A</t>
  </si>
  <si>
    <t>5010 B</t>
  </si>
  <si>
    <t xml:space="preserve">5010 C </t>
  </si>
  <si>
    <t>5011 B</t>
  </si>
  <si>
    <t>5011 C</t>
  </si>
  <si>
    <t>5012 C</t>
  </si>
  <si>
    <t>5013 C</t>
  </si>
  <si>
    <t>5014 A</t>
  </si>
  <si>
    <t>5015 A</t>
  </si>
  <si>
    <t>5015 B</t>
  </si>
  <si>
    <t>5015 C</t>
  </si>
  <si>
    <t xml:space="preserve">5016 C  </t>
  </si>
  <si>
    <t>5017 A</t>
  </si>
  <si>
    <t>5017 B</t>
  </si>
  <si>
    <t>5017 C</t>
  </si>
  <si>
    <t>5018 A</t>
  </si>
  <si>
    <t>5018 B</t>
  </si>
  <si>
    <t>RN DE ANA CLAUDIA VARGAS (Manuela)</t>
  </si>
  <si>
    <t>FORTINI (20,3%)</t>
  </si>
  <si>
    <t>5008 C</t>
  </si>
  <si>
    <t>FL HIDROLISADA (15,9%)</t>
  </si>
  <si>
    <t>SN</t>
  </si>
  <si>
    <t xml:space="preserve">RN DE TAINARA VENTURA </t>
  </si>
  <si>
    <t>FRASCO AGUA 300ML  - 06H</t>
  </si>
  <si>
    <t xml:space="preserve">MMD B.ORTO </t>
  </si>
  <si>
    <t>MURILO RAFAEL</t>
  </si>
  <si>
    <t>FL 1º SEMESTRE (NAN CONFOR1)</t>
  </si>
  <si>
    <t>FL HIDROLISADA</t>
  </si>
  <si>
    <t>MMD AVENT N°1</t>
  </si>
  <si>
    <t>RN LARISSA ZAMELATO</t>
  </si>
  <si>
    <t>LM + FM</t>
  </si>
  <si>
    <t>RN DE TAINARA DE CARVALHO BOTELHO (Jhon Peter)</t>
  </si>
  <si>
    <t>RN MILENA DA CRUZ PARANHOS (Felipe)</t>
  </si>
  <si>
    <t>5014 C</t>
  </si>
  <si>
    <t>ANTHONIA JULIA RANZAN  2A5M</t>
  </si>
  <si>
    <t>KEIVID LUAN KLAUCK 11A</t>
  </si>
  <si>
    <t>MARIA FLORÊNCIA A. M. DUARTE, 2A3M</t>
  </si>
  <si>
    <t>3/3H (-18 -03H -09H)</t>
  </si>
  <si>
    <t>2/2H</t>
  </si>
  <si>
    <t>SNG/VO</t>
  </si>
  <si>
    <t>RN SUELEM CAMPOS</t>
  </si>
  <si>
    <t>RN DE ALINE</t>
  </si>
  <si>
    <t>RN DE ANA PAULA ARAUJO</t>
  </si>
  <si>
    <t xml:space="preserve">RN DE MONIQUE MENDES </t>
  </si>
  <si>
    <t>RN ELISSANGELA MENDES</t>
  </si>
  <si>
    <t>LV+ACHOCOLATADO</t>
  </si>
  <si>
    <t>HENRY MICAEL DORNELES 1M</t>
  </si>
  <si>
    <t>CLAUDIA OLIVEIRA</t>
  </si>
  <si>
    <t>BEATRIZ RUAS DA SILVA, 1A11M</t>
  </si>
  <si>
    <t>7:30-15-21H</t>
  </si>
  <si>
    <t>7:30-15-21-24H</t>
  </si>
  <si>
    <t>LOUISE REOLON CHUVAS, 4A</t>
  </si>
  <si>
    <t>FL AA + MMD ROSA COMUM</t>
  </si>
  <si>
    <t>MURILO SILVEIRA, 6A</t>
  </si>
  <si>
    <t>LV+MUCILON</t>
  </si>
  <si>
    <t>7:30, 21H</t>
  </si>
  <si>
    <t>RN DE JÉSSICA BEGER</t>
  </si>
  <si>
    <t>JOÃO GABRIEL VIERA</t>
  </si>
  <si>
    <t>FL TRANSIÇÃO</t>
  </si>
  <si>
    <t>RN DE CLAUDIA OLIVEIRA</t>
  </si>
  <si>
    <t>RN DE LILIANE DOS SANTOS</t>
  </si>
  <si>
    <t>LORRANA BEATRIZ CARDOSO, 1A</t>
  </si>
  <si>
    <t>JOAQUIM BGS REIS, 11M</t>
  </si>
  <si>
    <t>VALENTIM DA SILVEIRA RODRIGUES, 1M</t>
  </si>
  <si>
    <t xml:space="preserve">FL 1º SEMESTRE </t>
  </si>
  <si>
    <t>RN DE ASHELEY DA SILVA</t>
  </si>
  <si>
    <t>LV + ACHOCOLATADO</t>
  </si>
  <si>
    <t>FL 1º SEMESTRE (17,5%)</t>
  </si>
  <si>
    <t>RN GIOVANA MEDEIROS (Camila)</t>
  </si>
  <si>
    <t>RN DE DANIELA ARAGÃO  MAUER (Marco Antônio)</t>
  </si>
  <si>
    <t>RN DE JENIFER VITÓRIA (Oliver)</t>
  </si>
  <si>
    <t>MANUELA NASCIMENTO 3M</t>
  </si>
  <si>
    <t>FL 1° SEMESTRE</t>
  </si>
  <si>
    <t>FL 1° SEMESTRE(NAN CONFOR)</t>
  </si>
  <si>
    <t>RN DE MAIRA DANIELE</t>
  </si>
  <si>
    <t>G1 KELLY SANTOS</t>
  </si>
  <si>
    <t xml:space="preserve">DATA : 10/10/2019   </t>
  </si>
  <si>
    <t>LV+ACHO</t>
  </si>
  <si>
    <t>7:30-15-21-24</t>
  </si>
  <si>
    <t>ISABELA COUTO 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</si>
</sst>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5" tint="0.39997558519241921"/>
      <name val="Calibri"/>
      <family val="2"/>
      <scheme val="minor"/>
    </font>
    <font>
      <b/>
      <sz val="18"/>
      <color rgb="FFBA434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Arial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Browallia New"/>
      <family val="2"/>
    </font>
    <font>
      <b/>
      <sz val="8"/>
      <color theme="1"/>
      <name val="Browallia New"/>
      <family val="2"/>
    </font>
    <font>
      <sz val="10"/>
      <color rgb="FF283214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BA434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5" tint="0.3999755851924192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283214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E9F6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0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9" fillId="0" borderId="0"/>
    <xf numFmtId="0" fontId="9" fillId="0" borderId="0"/>
  </cellStyleXfs>
  <cellXfs count="246">
    <xf numFmtId="0" fontId="0" fillId="0" borderId="0" xfId="0"/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5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12" fillId="0" borderId="0" xfId="0" applyFont="1" applyBorder="1"/>
    <xf numFmtId="0" fontId="10" fillId="0" borderId="0" xfId="0" applyFont="1"/>
    <xf numFmtId="0" fontId="10" fillId="0" borderId="0" xfId="0" applyFont="1" applyBorder="1"/>
    <xf numFmtId="0" fontId="11" fillId="12" borderId="0" xfId="0" applyFont="1" applyFill="1" applyBorder="1" applyAlignment="1">
      <alignment vertical="center"/>
    </xf>
    <xf numFmtId="0" fontId="10" fillId="12" borderId="0" xfId="0" applyFont="1" applyFill="1"/>
    <xf numFmtId="0" fontId="12" fillId="0" borderId="0" xfId="0" applyFont="1"/>
    <xf numFmtId="0" fontId="10" fillId="0" borderId="9" xfId="0" applyFont="1" applyBorder="1" applyAlignment="1">
      <alignment horizontal="center" vertical="center" wrapText="1"/>
    </xf>
    <xf numFmtId="0" fontId="12" fillId="0" borderId="28" xfId="0" applyFont="1" applyBorder="1"/>
    <xf numFmtId="0" fontId="14" fillId="0" borderId="0" xfId="0" applyFont="1"/>
    <xf numFmtId="0" fontId="15" fillId="0" borderId="0" xfId="0" applyFont="1" applyBorder="1"/>
    <xf numFmtId="0" fontId="15" fillId="0" borderId="0" xfId="0" applyFont="1"/>
    <xf numFmtId="0" fontId="12" fillId="0" borderId="29" xfId="0" applyFont="1" applyBorder="1" applyAlignment="1">
      <alignment horizontal="left"/>
    </xf>
    <xf numFmtId="0" fontId="12" fillId="0" borderId="30" xfId="0" applyFont="1" applyBorder="1" applyAlignment="1">
      <alignment horizontal="left"/>
    </xf>
    <xf numFmtId="0" fontId="12" fillId="0" borderId="31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33" xfId="0" applyFont="1" applyBorder="1"/>
    <xf numFmtId="0" fontId="12" fillId="0" borderId="27" xfId="0" applyFont="1" applyBorder="1"/>
    <xf numFmtId="0" fontId="13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3" fillId="0" borderId="27" xfId="0" applyFont="1" applyBorder="1"/>
    <xf numFmtId="0" fontId="13" fillId="0" borderId="0" xfId="0" applyFont="1" applyBorder="1"/>
    <xf numFmtId="0" fontId="12" fillId="0" borderId="0" xfId="0" applyFont="1" applyBorder="1" applyAlignment="1">
      <alignment horizontal="right"/>
    </xf>
    <xf numFmtId="0" fontId="13" fillId="0" borderId="27" xfId="0" applyFont="1" applyBorder="1" applyAlignment="1">
      <alignment horizontal="right"/>
    </xf>
    <xf numFmtId="0" fontId="15" fillId="0" borderId="40" xfId="0" applyFont="1" applyBorder="1" applyAlignment="1">
      <alignment vertical="center"/>
    </xf>
    <xf numFmtId="0" fontId="15" fillId="0" borderId="4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2" fillId="0" borderId="24" xfId="0" applyFont="1" applyBorder="1"/>
    <xf numFmtId="0" fontId="13" fillId="0" borderId="25" xfId="0" applyFont="1" applyBorder="1" applyAlignment="1">
      <alignment horizontal="left"/>
    </xf>
    <xf numFmtId="0" fontId="12" fillId="0" borderId="25" xfId="0" applyFont="1" applyBorder="1"/>
    <xf numFmtId="0" fontId="12" fillId="0" borderId="25" xfId="0" applyFont="1" applyBorder="1" applyAlignment="1">
      <alignment horizontal="left"/>
    </xf>
    <xf numFmtId="0" fontId="12" fillId="0" borderId="26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0" fontId="15" fillId="0" borderId="42" xfId="0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/>
    <xf numFmtId="0" fontId="13" fillId="0" borderId="27" xfId="0" applyNumberFormat="1" applyFont="1" applyBorder="1"/>
    <xf numFmtId="0" fontId="12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10" fontId="10" fillId="0" borderId="8" xfId="0" applyNumberFormat="1" applyFont="1" applyBorder="1" applyAlignment="1">
      <alignment horizontal="center" vertical="center"/>
    </xf>
    <xf numFmtId="0" fontId="11" fillId="13" borderId="8" xfId="0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3" fillId="4" borderId="12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8" fillId="0" borderId="1" xfId="0" applyFont="1" applyBorder="1" applyAlignment="1" applyProtection="1">
      <alignment horizontal="left" vertical="center" wrapText="1"/>
      <protection locked="0"/>
    </xf>
    <xf numFmtId="0" fontId="1" fillId="12" borderId="45" xfId="0" applyFont="1" applyFill="1" applyBorder="1" applyAlignment="1">
      <alignment horizontal="center" vertical="center"/>
    </xf>
    <xf numFmtId="0" fontId="12" fillId="12" borderId="23" xfId="0" applyFont="1" applyFill="1" applyBorder="1" applyAlignment="1">
      <alignment horizontal="left" vertical="center"/>
    </xf>
    <xf numFmtId="0" fontId="12" fillId="12" borderId="23" xfId="0" applyFont="1" applyFill="1" applyBorder="1" applyAlignment="1">
      <alignment horizontal="center" vertical="center"/>
    </xf>
    <xf numFmtId="0" fontId="12" fillId="12" borderId="23" xfId="0" applyFont="1" applyFill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/>
    </xf>
    <xf numFmtId="14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10" fontId="10" fillId="0" borderId="0" xfId="0" applyNumberFormat="1" applyFont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6" fontId="1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2" fillId="0" borderId="27" xfId="0" applyFont="1" applyBorder="1" applyAlignment="1">
      <alignment horizontal="right"/>
    </xf>
    <xf numFmtId="0" fontId="1" fillId="2" borderId="15" xfId="0" applyFont="1" applyFill="1" applyBorder="1" applyAlignment="1">
      <alignment horizontal="right" vertical="center"/>
    </xf>
    <xf numFmtId="0" fontId="26" fillId="0" borderId="1" xfId="0" applyFont="1" applyBorder="1" applyAlignment="1" applyProtection="1">
      <alignment horizontal="left" vertical="center" wrapText="1"/>
      <protection locked="0"/>
    </xf>
    <xf numFmtId="0" fontId="26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16" fontId="26" fillId="0" borderId="1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6" fillId="0" borderId="8" xfId="0" applyFont="1" applyBorder="1" applyAlignment="1" applyProtection="1">
      <alignment horizontal="left" vertical="center" wrapText="1"/>
      <protection locked="0"/>
    </xf>
    <xf numFmtId="0" fontId="0" fillId="0" borderId="9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12" borderId="1" xfId="0" applyFont="1" applyFill="1" applyBorder="1" applyAlignment="1">
      <alignment horizontal="center"/>
    </xf>
    <xf numFmtId="16" fontId="0" fillId="0" borderId="1" xfId="0" applyNumberFormat="1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20" fontId="0" fillId="0" borderId="6" xfId="0" applyNumberFormat="1" applyBorder="1" applyAlignment="1">
      <alignment vertical="center" wrapText="1"/>
    </xf>
    <xf numFmtId="0" fontId="28" fillId="0" borderId="6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10" fillId="0" borderId="47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0" fillId="0" borderId="48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6" fontId="0" fillId="0" borderId="1" xfId="0" applyNumberFormat="1" applyFont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4" fontId="1" fillId="2" borderId="13" xfId="0" applyNumberFormat="1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14" fontId="1" fillId="2" borderId="17" xfId="0" applyNumberFormat="1" applyFont="1" applyFill="1" applyBorder="1" applyAlignment="1">
      <alignment horizontal="left" vertical="center"/>
    </xf>
    <xf numFmtId="0" fontId="0" fillId="5" borderId="5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23" fillId="4" borderId="43" xfId="0" applyFont="1" applyFill="1" applyBorder="1" applyAlignment="1">
      <alignment horizontal="center" vertical="center"/>
    </xf>
    <xf numFmtId="0" fontId="23" fillId="4" borderId="17" xfId="0" applyFont="1" applyFill="1" applyBorder="1" applyAlignment="1">
      <alignment horizontal="center" vertical="center"/>
    </xf>
    <xf numFmtId="14" fontId="23" fillId="4" borderId="16" xfId="0" applyNumberFormat="1" applyFont="1" applyFill="1" applyBorder="1" applyAlignment="1">
      <alignment horizontal="left" vertical="center"/>
    </xf>
    <xf numFmtId="14" fontId="23" fillId="4" borderId="17" xfId="0" applyNumberFormat="1" applyFont="1" applyFill="1" applyBorder="1" applyAlignment="1">
      <alignment horizontal="left" vertical="center"/>
    </xf>
    <xf numFmtId="0" fontId="23" fillId="4" borderId="15" xfId="0" applyFont="1" applyFill="1" applyBorder="1" applyAlignment="1">
      <alignment horizontal="left" vertical="center" wrapText="1"/>
    </xf>
    <xf numFmtId="0" fontId="23" fillId="4" borderId="44" xfId="0" applyFont="1" applyFill="1" applyBorder="1" applyAlignment="1">
      <alignment horizontal="left" vertical="center" wrapText="1"/>
    </xf>
    <xf numFmtId="0" fontId="5" fillId="6" borderId="18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14" fontId="20" fillId="0" borderId="0" xfId="0" applyNumberFormat="1" applyFont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4" fontId="0" fillId="0" borderId="37" xfId="0" applyNumberFormat="1" applyBorder="1" applyAlignment="1">
      <alignment horizontal="center" vertical="center"/>
    </xf>
    <xf numFmtId="14" fontId="0" fillId="0" borderId="38" xfId="0" applyNumberFormat="1" applyBorder="1" applyAlignment="1">
      <alignment horizontal="center" vertical="center"/>
    </xf>
    <xf numFmtId="14" fontId="0" fillId="0" borderId="39" xfId="0" applyNumberForma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 textRotation="90"/>
    </xf>
    <xf numFmtId="0" fontId="0" fillId="0" borderId="27" xfId="0" applyBorder="1" applyAlignment="1">
      <alignment horizontal="center" vertical="center" textRotation="90"/>
    </xf>
    <xf numFmtId="0" fontId="0" fillId="0" borderId="29" xfId="0" applyBorder="1" applyAlignment="1">
      <alignment horizontal="center" vertical="center" textRotation="90"/>
    </xf>
    <xf numFmtId="0" fontId="11" fillId="15" borderId="34" xfId="0" applyFont="1" applyFill="1" applyBorder="1" applyAlignment="1">
      <alignment horizontal="center" vertical="center"/>
    </xf>
    <xf numFmtId="0" fontId="11" fillId="15" borderId="35" xfId="0" applyFont="1" applyFill="1" applyBorder="1" applyAlignment="1">
      <alignment horizontal="center" vertical="center"/>
    </xf>
    <xf numFmtId="0" fontId="11" fillId="15" borderId="36" xfId="0" applyFont="1" applyFill="1" applyBorder="1" applyAlignment="1">
      <alignment horizontal="center" vertical="center"/>
    </xf>
    <xf numFmtId="14" fontId="13" fillId="0" borderId="25" xfId="0" applyNumberFormat="1" applyFont="1" applyBorder="1" applyAlignment="1">
      <alignment horizontal="left"/>
    </xf>
    <xf numFmtId="0" fontId="12" fillId="0" borderId="21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32" xfId="0" applyFont="1" applyFill="1" applyBorder="1" applyAlignment="1">
      <alignment horizontal="right"/>
    </xf>
    <xf numFmtId="0" fontId="12" fillId="0" borderId="25" xfId="0" applyFont="1" applyFill="1" applyBorder="1" applyAlignment="1">
      <alignment horizontal="right"/>
    </xf>
    <xf numFmtId="0" fontId="12" fillId="0" borderId="28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/>
    </xf>
    <xf numFmtId="0" fontId="12" fillId="0" borderId="28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wrapText="1"/>
    </xf>
    <xf numFmtId="0" fontId="11" fillId="14" borderId="34" xfId="0" applyFont="1" applyFill="1" applyBorder="1" applyAlignment="1">
      <alignment horizontal="center" vertical="center"/>
    </xf>
    <xf numFmtId="0" fontId="11" fillId="14" borderId="35" xfId="0" applyFont="1" applyFill="1" applyBorder="1" applyAlignment="1">
      <alignment horizontal="center" vertical="center"/>
    </xf>
    <xf numFmtId="0" fontId="11" fillId="14" borderId="36" xfId="0" applyFont="1" applyFill="1" applyBorder="1" applyAlignment="1">
      <alignment horizontal="center" vertical="center"/>
    </xf>
    <xf numFmtId="0" fontId="13" fillId="15" borderId="34" xfId="0" applyFont="1" applyFill="1" applyBorder="1" applyAlignment="1">
      <alignment horizontal="center" vertical="center"/>
    </xf>
    <xf numFmtId="0" fontId="13" fillId="15" borderId="35" xfId="0" applyFont="1" applyFill="1" applyBorder="1" applyAlignment="1">
      <alignment horizontal="center" vertical="center"/>
    </xf>
    <xf numFmtId="0" fontId="13" fillId="15" borderId="36" xfId="0" applyFont="1" applyFill="1" applyBorder="1" applyAlignment="1">
      <alignment horizontal="center" vertical="center"/>
    </xf>
    <xf numFmtId="14" fontId="13" fillId="0" borderId="33" xfId="0" applyNumberFormat="1" applyFont="1" applyBorder="1" applyAlignment="1">
      <alignment horizontal="left"/>
    </xf>
    <xf numFmtId="14" fontId="13" fillId="0" borderId="0" xfId="0" applyNumberFormat="1" applyFont="1" applyBorder="1" applyAlignment="1">
      <alignment horizontal="left"/>
    </xf>
  </cellXfs>
  <cellStyles count="10">
    <cellStyle name="Normal" xfId="0" builtinId="0"/>
    <cellStyle name="Normal 2" xfId="1"/>
    <cellStyle name="Normal 2 2" xfId="4"/>
    <cellStyle name="Normal 2 2 2" xfId="7"/>
    <cellStyle name="Normal 2 2 3" xfId="9"/>
    <cellStyle name="Normal 3" xfId="2"/>
    <cellStyle name="Normal 4" xfId="5"/>
    <cellStyle name="Normal 5" xfId="3"/>
    <cellStyle name="Normal 5 2" xfId="6"/>
    <cellStyle name="Normal 5 3" xfId="8"/>
  </cellStyles>
  <dxfs count="0"/>
  <tableStyles count="0" defaultTableStyle="TableStyleMedium2" defaultPivotStyle="PivotStyleLight16"/>
  <colors>
    <mruColors>
      <color rgb="FFFAB4E1"/>
      <color rgb="FFFDE9F6"/>
      <color rgb="FFC9E7A7"/>
      <color rgb="FF283214"/>
      <color rgb="FFFFFF9B"/>
      <color rgb="FFBA434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602194</xdr:colOff>
      <xdr:row>0</xdr:row>
      <xdr:rowOff>76200</xdr:rowOff>
    </xdr:from>
    <xdr:to>
      <xdr:col>7</xdr:col>
      <xdr:colOff>200587</xdr:colOff>
      <xdr:row>2</xdr:row>
      <xdr:rowOff>95250</xdr:rowOff>
    </xdr:to>
    <xdr:pic>
      <xdr:nvPicPr>
        <xdr:cNvPr id="7" name="Imagem 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8861" y="76200"/>
          <a:ext cx="891115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6349</xdr:colOff>
      <xdr:row>0</xdr:row>
      <xdr:rowOff>12700</xdr:rowOff>
    </xdr:to>
    <xdr:pic>
      <xdr:nvPicPr>
        <xdr:cNvPr id="12" name="Imagem 1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349" cy="12700"/>
        </a:xfrm>
        <a:prstGeom prst="rect">
          <a:avLst/>
        </a:prstGeom>
      </xdr:spPr>
    </xdr:pic>
    <xdr:clientData/>
  </xdr:twoCellAnchor>
  <xdr:twoCellAnchor editAs="oneCell">
    <xdr:from>
      <xdr:col>1</xdr:col>
      <xdr:colOff>1532465</xdr:colOff>
      <xdr:row>0</xdr:row>
      <xdr:rowOff>85725</xdr:rowOff>
    </xdr:from>
    <xdr:to>
      <xdr:col>1</xdr:col>
      <xdr:colOff>2097613</xdr:colOff>
      <xdr:row>2</xdr:row>
      <xdr:rowOff>117476</xdr:rowOff>
    </xdr:to>
    <xdr:pic>
      <xdr:nvPicPr>
        <xdr:cNvPr id="15" name="Imagem 1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298" y="85725"/>
          <a:ext cx="565148" cy="412751"/>
        </a:xfrm>
        <a:prstGeom prst="rect">
          <a:avLst/>
        </a:prstGeom>
      </xdr:spPr>
    </xdr:pic>
    <xdr:clientData/>
  </xdr:twoCellAnchor>
  <xdr:twoCellAnchor editAs="oneCell">
    <xdr:from>
      <xdr:col>1</xdr:col>
      <xdr:colOff>2203446</xdr:colOff>
      <xdr:row>0</xdr:row>
      <xdr:rowOff>76200</xdr:rowOff>
    </xdr:from>
    <xdr:to>
      <xdr:col>1</xdr:col>
      <xdr:colOff>2870196</xdr:colOff>
      <xdr:row>2</xdr:row>
      <xdr:rowOff>123826</xdr:rowOff>
    </xdr:to>
    <xdr:pic>
      <xdr:nvPicPr>
        <xdr:cNvPr id="16" name="Imagem 15"/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17279" y="76200"/>
          <a:ext cx="666750" cy="428626"/>
        </a:xfrm>
        <a:prstGeom prst="rect">
          <a:avLst/>
        </a:prstGeom>
      </xdr:spPr>
    </xdr:pic>
    <xdr:clientData/>
  </xdr:twoCellAnchor>
  <xdr:twoCellAnchor editAs="oneCell">
    <xdr:from>
      <xdr:col>3</xdr:col>
      <xdr:colOff>673101</xdr:colOff>
      <xdr:row>0</xdr:row>
      <xdr:rowOff>34926</xdr:rowOff>
    </xdr:from>
    <xdr:to>
      <xdr:col>5</xdr:col>
      <xdr:colOff>489884</xdr:colOff>
      <xdr:row>2</xdr:row>
      <xdr:rowOff>63500</xdr:rowOff>
    </xdr:to>
    <xdr:pic>
      <xdr:nvPicPr>
        <xdr:cNvPr id="17" name="Imagem 16"/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9351" y="34926"/>
          <a:ext cx="919067" cy="409574"/>
        </a:xfrm>
        <a:prstGeom prst="rect">
          <a:avLst/>
        </a:prstGeom>
      </xdr:spPr>
    </xdr:pic>
    <xdr:clientData/>
  </xdr:twoCellAnchor>
  <xdr:twoCellAnchor editAs="oneCell">
    <xdr:from>
      <xdr:col>5</xdr:col>
      <xdr:colOff>488952</xdr:colOff>
      <xdr:row>0</xdr:row>
      <xdr:rowOff>56092</xdr:rowOff>
    </xdr:from>
    <xdr:to>
      <xdr:col>5</xdr:col>
      <xdr:colOff>1450977</xdr:colOff>
      <xdr:row>2</xdr:row>
      <xdr:rowOff>91018</xdr:rowOff>
    </xdr:to>
    <xdr:pic>
      <xdr:nvPicPr>
        <xdr:cNvPr id="18" name="Imagem 17"/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6952" y="56092"/>
          <a:ext cx="962025" cy="415926"/>
        </a:xfrm>
        <a:prstGeom prst="rect">
          <a:avLst/>
        </a:prstGeom>
      </xdr:spPr>
    </xdr:pic>
    <xdr:clientData/>
  </xdr:twoCellAnchor>
  <xdr:twoCellAnchor editAs="oneCell">
    <xdr:from>
      <xdr:col>5</xdr:col>
      <xdr:colOff>1565276</xdr:colOff>
      <xdr:row>0</xdr:row>
      <xdr:rowOff>85726</xdr:rowOff>
    </xdr:from>
    <xdr:to>
      <xdr:col>6</xdr:col>
      <xdr:colOff>224240</xdr:colOff>
      <xdr:row>2</xdr:row>
      <xdr:rowOff>114300</xdr:rowOff>
    </xdr:to>
    <xdr:pic>
      <xdr:nvPicPr>
        <xdr:cNvPr id="19" name="Imagem 18"/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53276" y="85726"/>
          <a:ext cx="629333" cy="409574"/>
        </a:xfrm>
        <a:prstGeom prst="rect">
          <a:avLst/>
        </a:prstGeom>
      </xdr:spPr>
    </xdr:pic>
    <xdr:clientData/>
  </xdr:twoCellAnchor>
  <xdr:twoCellAnchor editAs="oneCell">
    <xdr:from>
      <xdr:col>1</xdr:col>
      <xdr:colOff>2795057</xdr:colOff>
      <xdr:row>0</xdr:row>
      <xdr:rowOff>66675</xdr:rowOff>
    </xdr:from>
    <xdr:to>
      <xdr:col>3</xdr:col>
      <xdr:colOff>111060</xdr:colOff>
      <xdr:row>2</xdr:row>
      <xdr:rowOff>85725</xdr:rowOff>
    </xdr:to>
    <xdr:pic>
      <xdr:nvPicPr>
        <xdr:cNvPr id="20" name="Picture 7" descr="Resultado de imagem para bebe negro"/>
        <xdr:cNvPicPr/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325"/>
        <a:stretch/>
      </xdr:blipFill>
      <xdr:spPr bwMode="auto">
        <a:xfrm>
          <a:off x="3408890" y="66675"/>
          <a:ext cx="632322" cy="40005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</xdr:pic>
    <xdr:clientData/>
  </xdr:twoCellAnchor>
  <xdr:twoCellAnchor editAs="oneCell">
    <xdr:from>
      <xdr:col>0</xdr:col>
      <xdr:colOff>47625</xdr:colOff>
      <xdr:row>0</xdr:row>
      <xdr:rowOff>95250</xdr:rowOff>
    </xdr:from>
    <xdr:to>
      <xdr:col>1</xdr:col>
      <xdr:colOff>457200</xdr:colOff>
      <xdr:row>2</xdr:row>
      <xdr:rowOff>95250</xdr:rowOff>
    </xdr:to>
    <xdr:pic>
      <xdr:nvPicPr>
        <xdr:cNvPr id="21" name="Imagem 20"/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625" y="95250"/>
          <a:ext cx="1019175" cy="381000"/>
        </a:xfrm>
        <a:prstGeom prst="rect">
          <a:avLst/>
        </a:prstGeom>
      </xdr:spPr>
    </xdr:pic>
    <xdr:clientData/>
  </xdr:twoCellAnchor>
  <xdr:twoCellAnchor editAs="oneCell">
    <xdr:from>
      <xdr:col>7</xdr:col>
      <xdr:colOff>570442</xdr:colOff>
      <xdr:row>0</xdr:row>
      <xdr:rowOff>65616</xdr:rowOff>
    </xdr:from>
    <xdr:to>
      <xdr:col>7</xdr:col>
      <xdr:colOff>1122892</xdr:colOff>
      <xdr:row>2</xdr:row>
      <xdr:rowOff>94191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793692" y="65616"/>
          <a:ext cx="552450" cy="409575"/>
        </a:xfrm>
        <a:prstGeom prst="rect">
          <a:avLst/>
        </a:prstGeom>
      </xdr:spPr>
    </xdr:pic>
    <xdr:clientData/>
  </xdr:twoCellAnchor>
  <xdr:twoCellAnchor editAs="oneCell">
    <xdr:from>
      <xdr:col>2</xdr:col>
      <xdr:colOff>554566</xdr:colOff>
      <xdr:row>0</xdr:row>
      <xdr:rowOff>66675</xdr:rowOff>
    </xdr:from>
    <xdr:to>
      <xdr:col>3</xdr:col>
      <xdr:colOff>551204</xdr:colOff>
      <xdr:row>2</xdr:row>
      <xdr:rowOff>95250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6983" y="66675"/>
          <a:ext cx="556684" cy="409575"/>
        </a:xfrm>
        <a:prstGeom prst="rect">
          <a:avLst/>
        </a:prstGeom>
      </xdr:spPr>
    </xdr:pic>
    <xdr:clientData/>
  </xdr:twoCellAnchor>
  <xdr:twoCellAnchor editAs="oneCell">
    <xdr:from>
      <xdr:col>1</xdr:col>
      <xdr:colOff>645581</xdr:colOff>
      <xdr:row>0</xdr:row>
      <xdr:rowOff>95250</xdr:rowOff>
    </xdr:from>
    <xdr:to>
      <xdr:col>1</xdr:col>
      <xdr:colOff>1344080</xdr:colOff>
      <xdr:row>2</xdr:row>
      <xdr:rowOff>95250</xdr:rowOff>
    </xdr:to>
    <xdr:pic>
      <xdr:nvPicPr>
        <xdr:cNvPr id="24" name="Imagem 23"/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59414" y="95250"/>
          <a:ext cx="698499" cy="381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6349</xdr:colOff>
      <xdr:row>0</xdr:row>
      <xdr:rowOff>12700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49" cy="12700"/>
        </a:xfrm>
        <a:prstGeom prst="rect">
          <a:avLst/>
        </a:prstGeom>
      </xdr:spPr>
    </xdr:pic>
    <xdr:clientData/>
  </xdr:twoCellAnchor>
  <xdr:twoCellAnchor editAs="oneCell">
    <xdr:from>
      <xdr:col>1</xdr:col>
      <xdr:colOff>1416052</xdr:colOff>
      <xdr:row>0</xdr:row>
      <xdr:rowOff>85725</xdr:rowOff>
    </xdr:from>
    <xdr:to>
      <xdr:col>1</xdr:col>
      <xdr:colOff>1419225</xdr:colOff>
      <xdr:row>3</xdr:row>
      <xdr:rowOff>41276</xdr:rowOff>
    </xdr:to>
    <xdr:pic>
      <xdr:nvPicPr>
        <xdr:cNvPr id="5" name="Imagem 4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85725"/>
          <a:ext cx="565148" cy="412751"/>
        </a:xfrm>
        <a:prstGeom prst="rect">
          <a:avLst/>
        </a:prstGeom>
      </xdr:spPr>
    </xdr:pic>
    <xdr:clientData/>
  </xdr:twoCellAnchor>
  <xdr:twoCellAnchor editAs="oneCell">
    <xdr:from>
      <xdr:col>1</xdr:col>
      <xdr:colOff>2076450</xdr:colOff>
      <xdr:row>0</xdr:row>
      <xdr:rowOff>76200</xdr:rowOff>
    </xdr:from>
    <xdr:to>
      <xdr:col>1</xdr:col>
      <xdr:colOff>2076450</xdr:colOff>
      <xdr:row>3</xdr:row>
      <xdr:rowOff>47626</xdr:rowOff>
    </xdr:to>
    <xdr:pic>
      <xdr:nvPicPr>
        <xdr:cNvPr id="6" name="Imagem 5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6050" y="76200"/>
          <a:ext cx="666750" cy="4286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0</xdr:col>
      <xdr:colOff>6349</xdr:colOff>
      <xdr:row>23</xdr:row>
      <xdr:rowOff>12700</xdr:rowOff>
    </xdr:to>
    <xdr:pic>
      <xdr:nvPicPr>
        <xdr:cNvPr id="3" name="Imagem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49" cy="12700"/>
        </a:xfrm>
        <a:prstGeom prst="rect">
          <a:avLst/>
        </a:prstGeom>
      </xdr:spPr>
    </xdr:pic>
    <xdr:clientData/>
  </xdr:twoCellAnchor>
  <xdr:twoCellAnchor editAs="oneCell">
    <xdr:from>
      <xdr:col>1</xdr:col>
      <xdr:colOff>1416052</xdr:colOff>
      <xdr:row>23</xdr:row>
      <xdr:rowOff>0</xdr:rowOff>
    </xdr:from>
    <xdr:to>
      <xdr:col>1</xdr:col>
      <xdr:colOff>1419225</xdr:colOff>
      <xdr:row>67</xdr:row>
      <xdr:rowOff>107951</xdr:rowOff>
    </xdr:to>
    <xdr:pic>
      <xdr:nvPicPr>
        <xdr:cNvPr id="4" name="Imagem 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85725"/>
          <a:ext cx="3173" cy="412751"/>
        </a:xfrm>
        <a:prstGeom prst="rect">
          <a:avLst/>
        </a:prstGeom>
      </xdr:spPr>
    </xdr:pic>
    <xdr:clientData/>
  </xdr:twoCellAnchor>
  <xdr:twoCellAnchor editAs="oneCell">
    <xdr:from>
      <xdr:col>1</xdr:col>
      <xdr:colOff>2076450</xdr:colOff>
      <xdr:row>23</xdr:row>
      <xdr:rowOff>0</xdr:rowOff>
    </xdr:from>
    <xdr:to>
      <xdr:col>1</xdr:col>
      <xdr:colOff>2076450</xdr:colOff>
      <xdr:row>67</xdr:row>
      <xdr:rowOff>123826</xdr:rowOff>
    </xdr:to>
    <xdr:pic>
      <xdr:nvPicPr>
        <xdr:cNvPr id="5" name="Imagem 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6050" y="76200"/>
          <a:ext cx="0" cy="428626"/>
        </a:xfrm>
        <a:prstGeom prst="rect">
          <a:avLst/>
        </a:prstGeom>
      </xdr:spPr>
    </xdr:pic>
    <xdr:clientData/>
  </xdr:twoCellAnchor>
  <xdr:oneCellAnchor>
    <xdr:from>
      <xdr:col>3</xdr:col>
      <xdr:colOff>161925</xdr:colOff>
      <xdr:row>18</xdr:row>
      <xdr:rowOff>219075</xdr:rowOff>
    </xdr:from>
    <xdr:ext cx="6349" cy="12700"/>
    <xdr:pic>
      <xdr:nvPicPr>
        <xdr:cNvPr id="15" name="Imagem 1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5700" y="4486275"/>
          <a:ext cx="6349" cy="12700"/>
        </a:xfrm>
        <a:prstGeom prst="rect">
          <a:avLst/>
        </a:prstGeom>
      </xdr:spPr>
    </xdr:pic>
    <xdr:clientData/>
  </xdr:oneCellAnchor>
  <xdr:oneCellAnchor>
    <xdr:from>
      <xdr:col>4</xdr:col>
      <xdr:colOff>1387477</xdr:colOff>
      <xdr:row>22</xdr:row>
      <xdr:rowOff>9525</xdr:rowOff>
    </xdr:from>
    <xdr:ext cx="3173" cy="336551"/>
    <xdr:pic>
      <xdr:nvPicPr>
        <xdr:cNvPr id="16" name="Imagem 1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9427" y="5191125"/>
          <a:ext cx="3173" cy="336551"/>
        </a:xfrm>
        <a:prstGeom prst="rect">
          <a:avLst/>
        </a:prstGeom>
      </xdr:spPr>
    </xdr:pic>
    <xdr:clientData/>
  </xdr:oneCellAnchor>
  <xdr:oneCellAnchor>
    <xdr:from>
      <xdr:col>4</xdr:col>
      <xdr:colOff>2076450</xdr:colOff>
      <xdr:row>22</xdr:row>
      <xdr:rowOff>0</xdr:rowOff>
    </xdr:from>
    <xdr:ext cx="0" cy="352426"/>
    <xdr:pic>
      <xdr:nvPicPr>
        <xdr:cNvPr id="17" name="Imagem 1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6050" y="37338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24</xdr:row>
      <xdr:rowOff>0</xdr:rowOff>
    </xdr:from>
    <xdr:ext cx="3173" cy="336551"/>
    <xdr:pic>
      <xdr:nvPicPr>
        <xdr:cNvPr id="11" name="Imagem 10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3528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24</xdr:row>
      <xdr:rowOff>0</xdr:rowOff>
    </xdr:from>
    <xdr:ext cx="0" cy="352426"/>
    <xdr:pic>
      <xdr:nvPicPr>
        <xdr:cNvPr id="12" name="Imagem 11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3528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25</xdr:row>
      <xdr:rowOff>0</xdr:rowOff>
    </xdr:from>
    <xdr:ext cx="3173" cy="336551"/>
    <xdr:pic>
      <xdr:nvPicPr>
        <xdr:cNvPr id="18" name="Imagem 1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3528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25</xdr:row>
      <xdr:rowOff>0</xdr:rowOff>
    </xdr:from>
    <xdr:ext cx="0" cy="352426"/>
    <xdr:pic>
      <xdr:nvPicPr>
        <xdr:cNvPr id="19" name="Imagem 1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3528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26</xdr:row>
      <xdr:rowOff>0</xdr:rowOff>
    </xdr:from>
    <xdr:ext cx="3173" cy="336551"/>
    <xdr:pic>
      <xdr:nvPicPr>
        <xdr:cNvPr id="22" name="Imagem 2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5814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26</xdr:row>
      <xdr:rowOff>0</xdr:rowOff>
    </xdr:from>
    <xdr:ext cx="0" cy="352426"/>
    <xdr:pic>
      <xdr:nvPicPr>
        <xdr:cNvPr id="23" name="Imagem 2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5814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26</xdr:row>
      <xdr:rowOff>0</xdr:rowOff>
    </xdr:from>
    <xdr:ext cx="3173" cy="336551"/>
    <xdr:pic>
      <xdr:nvPicPr>
        <xdr:cNvPr id="26" name="Imagem 2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3528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26</xdr:row>
      <xdr:rowOff>0</xdr:rowOff>
    </xdr:from>
    <xdr:ext cx="0" cy="352426"/>
    <xdr:pic>
      <xdr:nvPicPr>
        <xdr:cNvPr id="27" name="Imagem 2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3528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27</xdr:row>
      <xdr:rowOff>0</xdr:rowOff>
    </xdr:from>
    <xdr:ext cx="3173" cy="336551"/>
    <xdr:pic>
      <xdr:nvPicPr>
        <xdr:cNvPr id="30" name="Imagem 2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5814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27</xdr:row>
      <xdr:rowOff>0</xdr:rowOff>
    </xdr:from>
    <xdr:ext cx="0" cy="352426"/>
    <xdr:pic>
      <xdr:nvPicPr>
        <xdr:cNvPr id="31" name="Imagem 3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5814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27</xdr:row>
      <xdr:rowOff>0</xdr:rowOff>
    </xdr:from>
    <xdr:ext cx="3173" cy="336551"/>
    <xdr:pic>
      <xdr:nvPicPr>
        <xdr:cNvPr id="34" name="Imagem 3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3528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27</xdr:row>
      <xdr:rowOff>0</xdr:rowOff>
    </xdr:from>
    <xdr:ext cx="0" cy="352426"/>
    <xdr:pic>
      <xdr:nvPicPr>
        <xdr:cNvPr id="35" name="Imagem 3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3528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28</xdr:row>
      <xdr:rowOff>0</xdr:rowOff>
    </xdr:from>
    <xdr:ext cx="3173" cy="336551"/>
    <xdr:pic>
      <xdr:nvPicPr>
        <xdr:cNvPr id="38" name="Imagem 3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5814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28</xdr:row>
      <xdr:rowOff>0</xdr:rowOff>
    </xdr:from>
    <xdr:ext cx="0" cy="352426"/>
    <xdr:pic>
      <xdr:nvPicPr>
        <xdr:cNvPr id="39" name="Imagem 3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5814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28</xdr:row>
      <xdr:rowOff>0</xdr:rowOff>
    </xdr:from>
    <xdr:ext cx="3173" cy="336551"/>
    <xdr:pic>
      <xdr:nvPicPr>
        <xdr:cNvPr id="42" name="Imagem 4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3528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28</xdr:row>
      <xdr:rowOff>0</xdr:rowOff>
    </xdr:from>
    <xdr:ext cx="0" cy="352426"/>
    <xdr:pic>
      <xdr:nvPicPr>
        <xdr:cNvPr id="43" name="Imagem 4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3528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29</xdr:row>
      <xdr:rowOff>0</xdr:rowOff>
    </xdr:from>
    <xdr:ext cx="3173" cy="336551"/>
    <xdr:pic>
      <xdr:nvPicPr>
        <xdr:cNvPr id="46" name="Imagem 4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5814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29</xdr:row>
      <xdr:rowOff>0</xdr:rowOff>
    </xdr:from>
    <xdr:ext cx="0" cy="352426"/>
    <xdr:pic>
      <xdr:nvPicPr>
        <xdr:cNvPr id="47" name="Imagem 4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5814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29</xdr:row>
      <xdr:rowOff>0</xdr:rowOff>
    </xdr:from>
    <xdr:ext cx="3173" cy="336551"/>
    <xdr:pic>
      <xdr:nvPicPr>
        <xdr:cNvPr id="50" name="Imagem 4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3528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29</xdr:row>
      <xdr:rowOff>0</xdr:rowOff>
    </xdr:from>
    <xdr:ext cx="0" cy="352426"/>
    <xdr:pic>
      <xdr:nvPicPr>
        <xdr:cNvPr id="51" name="Imagem 5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3528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30</xdr:row>
      <xdr:rowOff>0</xdr:rowOff>
    </xdr:from>
    <xdr:ext cx="3173" cy="336551"/>
    <xdr:pic>
      <xdr:nvPicPr>
        <xdr:cNvPr id="54" name="Imagem 5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5814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30</xdr:row>
      <xdr:rowOff>0</xdr:rowOff>
    </xdr:from>
    <xdr:ext cx="0" cy="352426"/>
    <xdr:pic>
      <xdr:nvPicPr>
        <xdr:cNvPr id="55" name="Imagem 5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5814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30</xdr:row>
      <xdr:rowOff>0</xdr:rowOff>
    </xdr:from>
    <xdr:ext cx="3173" cy="336551"/>
    <xdr:pic>
      <xdr:nvPicPr>
        <xdr:cNvPr id="58" name="Imagem 5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3528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30</xdr:row>
      <xdr:rowOff>0</xdr:rowOff>
    </xdr:from>
    <xdr:ext cx="0" cy="352426"/>
    <xdr:pic>
      <xdr:nvPicPr>
        <xdr:cNvPr id="59" name="Imagem 5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3528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31</xdr:row>
      <xdr:rowOff>0</xdr:rowOff>
    </xdr:from>
    <xdr:ext cx="3173" cy="336551"/>
    <xdr:pic>
      <xdr:nvPicPr>
        <xdr:cNvPr id="62" name="Imagem 6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5814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31</xdr:row>
      <xdr:rowOff>0</xdr:rowOff>
    </xdr:from>
    <xdr:ext cx="0" cy="352426"/>
    <xdr:pic>
      <xdr:nvPicPr>
        <xdr:cNvPr id="63" name="Imagem 6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5814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31</xdr:row>
      <xdr:rowOff>0</xdr:rowOff>
    </xdr:from>
    <xdr:ext cx="3173" cy="336551"/>
    <xdr:pic>
      <xdr:nvPicPr>
        <xdr:cNvPr id="66" name="Imagem 6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3528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31</xdr:row>
      <xdr:rowOff>0</xdr:rowOff>
    </xdr:from>
    <xdr:ext cx="0" cy="352426"/>
    <xdr:pic>
      <xdr:nvPicPr>
        <xdr:cNvPr id="67" name="Imagem 6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3528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32</xdr:row>
      <xdr:rowOff>0</xdr:rowOff>
    </xdr:from>
    <xdr:ext cx="3173" cy="336551"/>
    <xdr:pic>
      <xdr:nvPicPr>
        <xdr:cNvPr id="70" name="Imagem 6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5814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32</xdr:row>
      <xdr:rowOff>0</xdr:rowOff>
    </xdr:from>
    <xdr:ext cx="0" cy="352426"/>
    <xdr:pic>
      <xdr:nvPicPr>
        <xdr:cNvPr id="71" name="Imagem 7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5814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32</xdr:row>
      <xdr:rowOff>0</xdr:rowOff>
    </xdr:from>
    <xdr:ext cx="3173" cy="336551"/>
    <xdr:pic>
      <xdr:nvPicPr>
        <xdr:cNvPr id="74" name="Imagem 7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3528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32</xdr:row>
      <xdr:rowOff>0</xdr:rowOff>
    </xdr:from>
    <xdr:ext cx="0" cy="352426"/>
    <xdr:pic>
      <xdr:nvPicPr>
        <xdr:cNvPr id="75" name="Imagem 7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3528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33</xdr:row>
      <xdr:rowOff>0</xdr:rowOff>
    </xdr:from>
    <xdr:ext cx="3173" cy="336551"/>
    <xdr:pic>
      <xdr:nvPicPr>
        <xdr:cNvPr id="78" name="Imagem 7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358140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33</xdr:row>
      <xdr:rowOff>0</xdr:rowOff>
    </xdr:from>
    <xdr:ext cx="0" cy="352426"/>
    <xdr:pic>
      <xdr:nvPicPr>
        <xdr:cNvPr id="79" name="Imagem 7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358140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34</xdr:row>
      <xdr:rowOff>0</xdr:rowOff>
    </xdr:from>
    <xdr:ext cx="3173" cy="336551"/>
    <xdr:pic>
      <xdr:nvPicPr>
        <xdr:cNvPr id="82" name="Imagem 8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34</xdr:row>
      <xdr:rowOff>0</xdr:rowOff>
    </xdr:from>
    <xdr:ext cx="0" cy="352426"/>
    <xdr:pic>
      <xdr:nvPicPr>
        <xdr:cNvPr id="83" name="Imagem 8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35</xdr:row>
      <xdr:rowOff>0</xdr:rowOff>
    </xdr:from>
    <xdr:ext cx="3173" cy="336551"/>
    <xdr:pic>
      <xdr:nvPicPr>
        <xdr:cNvPr id="85" name="Imagem 84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35</xdr:row>
      <xdr:rowOff>0</xdr:rowOff>
    </xdr:from>
    <xdr:ext cx="0" cy="352426"/>
    <xdr:pic>
      <xdr:nvPicPr>
        <xdr:cNvPr id="86" name="Imagem 85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36</xdr:row>
      <xdr:rowOff>0</xdr:rowOff>
    </xdr:from>
    <xdr:ext cx="3173" cy="336551"/>
    <xdr:pic>
      <xdr:nvPicPr>
        <xdr:cNvPr id="88" name="Imagem 8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36</xdr:row>
      <xdr:rowOff>0</xdr:rowOff>
    </xdr:from>
    <xdr:ext cx="0" cy="352426"/>
    <xdr:pic>
      <xdr:nvPicPr>
        <xdr:cNvPr id="89" name="Imagem 8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36</xdr:row>
      <xdr:rowOff>0</xdr:rowOff>
    </xdr:from>
    <xdr:ext cx="3173" cy="336551"/>
    <xdr:pic>
      <xdr:nvPicPr>
        <xdr:cNvPr id="91" name="Imagem 90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36</xdr:row>
      <xdr:rowOff>0</xdr:rowOff>
    </xdr:from>
    <xdr:ext cx="0" cy="352426"/>
    <xdr:pic>
      <xdr:nvPicPr>
        <xdr:cNvPr id="92" name="Imagem 91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37</xdr:row>
      <xdr:rowOff>0</xdr:rowOff>
    </xdr:from>
    <xdr:ext cx="3173" cy="336551"/>
    <xdr:pic>
      <xdr:nvPicPr>
        <xdr:cNvPr id="94" name="Imagem 9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37</xdr:row>
      <xdr:rowOff>0</xdr:rowOff>
    </xdr:from>
    <xdr:ext cx="0" cy="352426"/>
    <xdr:pic>
      <xdr:nvPicPr>
        <xdr:cNvPr id="95" name="Imagem 9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37</xdr:row>
      <xdr:rowOff>0</xdr:rowOff>
    </xdr:from>
    <xdr:ext cx="3173" cy="336551"/>
    <xdr:pic>
      <xdr:nvPicPr>
        <xdr:cNvPr id="97" name="Imagem 9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37</xdr:row>
      <xdr:rowOff>0</xdr:rowOff>
    </xdr:from>
    <xdr:ext cx="0" cy="352426"/>
    <xdr:pic>
      <xdr:nvPicPr>
        <xdr:cNvPr id="98" name="Imagem 97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38</xdr:row>
      <xdr:rowOff>0</xdr:rowOff>
    </xdr:from>
    <xdr:ext cx="3173" cy="336551"/>
    <xdr:pic>
      <xdr:nvPicPr>
        <xdr:cNvPr id="100" name="Imagem 9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38</xdr:row>
      <xdr:rowOff>0</xdr:rowOff>
    </xdr:from>
    <xdr:ext cx="0" cy="352426"/>
    <xdr:pic>
      <xdr:nvPicPr>
        <xdr:cNvPr id="101" name="Imagem 10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38</xdr:row>
      <xdr:rowOff>0</xdr:rowOff>
    </xdr:from>
    <xdr:ext cx="3173" cy="336551"/>
    <xdr:pic>
      <xdr:nvPicPr>
        <xdr:cNvPr id="103" name="Imagem 10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38</xdr:row>
      <xdr:rowOff>0</xdr:rowOff>
    </xdr:from>
    <xdr:ext cx="0" cy="352426"/>
    <xdr:pic>
      <xdr:nvPicPr>
        <xdr:cNvPr id="104" name="Imagem 10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39</xdr:row>
      <xdr:rowOff>0</xdr:rowOff>
    </xdr:from>
    <xdr:ext cx="3173" cy="336551"/>
    <xdr:pic>
      <xdr:nvPicPr>
        <xdr:cNvPr id="106" name="Imagem 10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39</xdr:row>
      <xdr:rowOff>0</xdr:rowOff>
    </xdr:from>
    <xdr:ext cx="0" cy="352426"/>
    <xdr:pic>
      <xdr:nvPicPr>
        <xdr:cNvPr id="107" name="Imagem 10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39</xdr:row>
      <xdr:rowOff>0</xdr:rowOff>
    </xdr:from>
    <xdr:ext cx="3173" cy="336551"/>
    <xdr:pic>
      <xdr:nvPicPr>
        <xdr:cNvPr id="109" name="Imagem 108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39</xdr:row>
      <xdr:rowOff>0</xdr:rowOff>
    </xdr:from>
    <xdr:ext cx="0" cy="352426"/>
    <xdr:pic>
      <xdr:nvPicPr>
        <xdr:cNvPr id="110" name="Imagem 109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40</xdr:row>
      <xdr:rowOff>0</xdr:rowOff>
    </xdr:from>
    <xdr:ext cx="3173" cy="336551"/>
    <xdr:pic>
      <xdr:nvPicPr>
        <xdr:cNvPr id="112" name="Imagem 11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40</xdr:row>
      <xdr:rowOff>0</xdr:rowOff>
    </xdr:from>
    <xdr:ext cx="0" cy="352426"/>
    <xdr:pic>
      <xdr:nvPicPr>
        <xdr:cNvPr id="113" name="Imagem 11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40</xdr:row>
      <xdr:rowOff>0</xdr:rowOff>
    </xdr:from>
    <xdr:ext cx="3173" cy="336551"/>
    <xdr:pic>
      <xdr:nvPicPr>
        <xdr:cNvPr id="115" name="Imagem 114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40</xdr:row>
      <xdr:rowOff>0</xdr:rowOff>
    </xdr:from>
    <xdr:ext cx="0" cy="352426"/>
    <xdr:pic>
      <xdr:nvPicPr>
        <xdr:cNvPr id="116" name="Imagem 115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41</xdr:row>
      <xdr:rowOff>0</xdr:rowOff>
    </xdr:from>
    <xdr:ext cx="3173" cy="336551"/>
    <xdr:pic>
      <xdr:nvPicPr>
        <xdr:cNvPr id="118" name="Imagem 11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41</xdr:row>
      <xdr:rowOff>0</xdr:rowOff>
    </xdr:from>
    <xdr:ext cx="0" cy="352426"/>
    <xdr:pic>
      <xdr:nvPicPr>
        <xdr:cNvPr id="119" name="Imagem 11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41</xdr:row>
      <xdr:rowOff>0</xdr:rowOff>
    </xdr:from>
    <xdr:ext cx="3173" cy="336551"/>
    <xdr:pic>
      <xdr:nvPicPr>
        <xdr:cNvPr id="121" name="Imagem 120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41</xdr:row>
      <xdr:rowOff>0</xdr:rowOff>
    </xdr:from>
    <xdr:ext cx="0" cy="352426"/>
    <xdr:pic>
      <xdr:nvPicPr>
        <xdr:cNvPr id="122" name="Imagem 121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42</xdr:row>
      <xdr:rowOff>0</xdr:rowOff>
    </xdr:from>
    <xdr:ext cx="3173" cy="336551"/>
    <xdr:pic>
      <xdr:nvPicPr>
        <xdr:cNvPr id="124" name="Imagem 12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42</xdr:row>
      <xdr:rowOff>0</xdr:rowOff>
    </xdr:from>
    <xdr:ext cx="0" cy="352426"/>
    <xdr:pic>
      <xdr:nvPicPr>
        <xdr:cNvPr id="125" name="Imagem 12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42</xdr:row>
      <xdr:rowOff>0</xdr:rowOff>
    </xdr:from>
    <xdr:ext cx="3173" cy="336551"/>
    <xdr:pic>
      <xdr:nvPicPr>
        <xdr:cNvPr id="127" name="Imagem 12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42</xdr:row>
      <xdr:rowOff>0</xdr:rowOff>
    </xdr:from>
    <xdr:ext cx="0" cy="352426"/>
    <xdr:pic>
      <xdr:nvPicPr>
        <xdr:cNvPr id="128" name="Imagem 127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43</xdr:row>
      <xdr:rowOff>0</xdr:rowOff>
    </xdr:from>
    <xdr:ext cx="3173" cy="336551"/>
    <xdr:pic>
      <xdr:nvPicPr>
        <xdr:cNvPr id="130" name="Imagem 12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43</xdr:row>
      <xdr:rowOff>0</xdr:rowOff>
    </xdr:from>
    <xdr:ext cx="0" cy="352426"/>
    <xdr:pic>
      <xdr:nvPicPr>
        <xdr:cNvPr id="131" name="Imagem 13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43</xdr:row>
      <xdr:rowOff>0</xdr:rowOff>
    </xdr:from>
    <xdr:ext cx="3173" cy="336551"/>
    <xdr:pic>
      <xdr:nvPicPr>
        <xdr:cNvPr id="133" name="Imagem 13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43</xdr:row>
      <xdr:rowOff>0</xdr:rowOff>
    </xdr:from>
    <xdr:ext cx="0" cy="352426"/>
    <xdr:pic>
      <xdr:nvPicPr>
        <xdr:cNvPr id="134" name="Imagem 13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44</xdr:row>
      <xdr:rowOff>0</xdr:rowOff>
    </xdr:from>
    <xdr:ext cx="3173" cy="336551"/>
    <xdr:pic>
      <xdr:nvPicPr>
        <xdr:cNvPr id="136" name="Imagem 13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44</xdr:row>
      <xdr:rowOff>0</xdr:rowOff>
    </xdr:from>
    <xdr:ext cx="0" cy="352426"/>
    <xdr:pic>
      <xdr:nvPicPr>
        <xdr:cNvPr id="137" name="Imagem 13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44</xdr:row>
      <xdr:rowOff>0</xdr:rowOff>
    </xdr:from>
    <xdr:ext cx="3173" cy="336551"/>
    <xdr:pic>
      <xdr:nvPicPr>
        <xdr:cNvPr id="139" name="Imagem 138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44</xdr:row>
      <xdr:rowOff>0</xdr:rowOff>
    </xdr:from>
    <xdr:ext cx="0" cy="352426"/>
    <xdr:pic>
      <xdr:nvPicPr>
        <xdr:cNvPr id="140" name="Imagem 139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45</xdr:row>
      <xdr:rowOff>0</xdr:rowOff>
    </xdr:from>
    <xdr:ext cx="3173" cy="336551"/>
    <xdr:pic>
      <xdr:nvPicPr>
        <xdr:cNvPr id="142" name="Imagem 14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45</xdr:row>
      <xdr:rowOff>0</xdr:rowOff>
    </xdr:from>
    <xdr:ext cx="0" cy="352426"/>
    <xdr:pic>
      <xdr:nvPicPr>
        <xdr:cNvPr id="143" name="Imagem 14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45</xdr:row>
      <xdr:rowOff>0</xdr:rowOff>
    </xdr:from>
    <xdr:ext cx="3173" cy="336551"/>
    <xdr:pic>
      <xdr:nvPicPr>
        <xdr:cNvPr id="145" name="Imagem 144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45</xdr:row>
      <xdr:rowOff>0</xdr:rowOff>
    </xdr:from>
    <xdr:ext cx="0" cy="352426"/>
    <xdr:pic>
      <xdr:nvPicPr>
        <xdr:cNvPr id="146" name="Imagem 145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46</xdr:row>
      <xdr:rowOff>0</xdr:rowOff>
    </xdr:from>
    <xdr:ext cx="3173" cy="336551"/>
    <xdr:pic>
      <xdr:nvPicPr>
        <xdr:cNvPr id="148" name="Imagem 14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46</xdr:row>
      <xdr:rowOff>0</xdr:rowOff>
    </xdr:from>
    <xdr:ext cx="0" cy="352426"/>
    <xdr:pic>
      <xdr:nvPicPr>
        <xdr:cNvPr id="149" name="Imagem 14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46</xdr:row>
      <xdr:rowOff>0</xdr:rowOff>
    </xdr:from>
    <xdr:ext cx="3173" cy="336551"/>
    <xdr:pic>
      <xdr:nvPicPr>
        <xdr:cNvPr id="151" name="Imagem 150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46</xdr:row>
      <xdr:rowOff>0</xdr:rowOff>
    </xdr:from>
    <xdr:ext cx="0" cy="352426"/>
    <xdr:pic>
      <xdr:nvPicPr>
        <xdr:cNvPr id="152" name="Imagem 151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47</xdr:row>
      <xdr:rowOff>0</xdr:rowOff>
    </xdr:from>
    <xdr:ext cx="3173" cy="336551"/>
    <xdr:pic>
      <xdr:nvPicPr>
        <xdr:cNvPr id="154" name="Imagem 15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47</xdr:row>
      <xdr:rowOff>0</xdr:rowOff>
    </xdr:from>
    <xdr:ext cx="0" cy="352426"/>
    <xdr:pic>
      <xdr:nvPicPr>
        <xdr:cNvPr id="155" name="Imagem 15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47</xdr:row>
      <xdr:rowOff>0</xdr:rowOff>
    </xdr:from>
    <xdr:ext cx="3173" cy="336551"/>
    <xdr:pic>
      <xdr:nvPicPr>
        <xdr:cNvPr id="157" name="Imagem 15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47</xdr:row>
      <xdr:rowOff>0</xdr:rowOff>
    </xdr:from>
    <xdr:ext cx="0" cy="352426"/>
    <xdr:pic>
      <xdr:nvPicPr>
        <xdr:cNvPr id="158" name="Imagem 157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48</xdr:row>
      <xdr:rowOff>0</xdr:rowOff>
    </xdr:from>
    <xdr:ext cx="3173" cy="336551"/>
    <xdr:pic>
      <xdr:nvPicPr>
        <xdr:cNvPr id="160" name="Imagem 15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48</xdr:row>
      <xdr:rowOff>0</xdr:rowOff>
    </xdr:from>
    <xdr:ext cx="0" cy="352426"/>
    <xdr:pic>
      <xdr:nvPicPr>
        <xdr:cNvPr id="161" name="Imagem 16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48</xdr:row>
      <xdr:rowOff>0</xdr:rowOff>
    </xdr:from>
    <xdr:ext cx="3173" cy="336551"/>
    <xdr:pic>
      <xdr:nvPicPr>
        <xdr:cNvPr id="163" name="Imagem 16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48</xdr:row>
      <xdr:rowOff>0</xdr:rowOff>
    </xdr:from>
    <xdr:ext cx="0" cy="352426"/>
    <xdr:pic>
      <xdr:nvPicPr>
        <xdr:cNvPr id="164" name="Imagem 16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49</xdr:row>
      <xdr:rowOff>0</xdr:rowOff>
    </xdr:from>
    <xdr:ext cx="3173" cy="336551"/>
    <xdr:pic>
      <xdr:nvPicPr>
        <xdr:cNvPr id="166" name="Imagem 16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49</xdr:row>
      <xdr:rowOff>0</xdr:rowOff>
    </xdr:from>
    <xdr:ext cx="0" cy="352426"/>
    <xdr:pic>
      <xdr:nvPicPr>
        <xdr:cNvPr id="167" name="Imagem 16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49</xdr:row>
      <xdr:rowOff>0</xdr:rowOff>
    </xdr:from>
    <xdr:ext cx="3173" cy="336551"/>
    <xdr:pic>
      <xdr:nvPicPr>
        <xdr:cNvPr id="169" name="Imagem 168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49</xdr:row>
      <xdr:rowOff>0</xdr:rowOff>
    </xdr:from>
    <xdr:ext cx="0" cy="352426"/>
    <xdr:pic>
      <xdr:nvPicPr>
        <xdr:cNvPr id="170" name="Imagem 169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50</xdr:row>
      <xdr:rowOff>0</xdr:rowOff>
    </xdr:from>
    <xdr:ext cx="3173" cy="336551"/>
    <xdr:pic>
      <xdr:nvPicPr>
        <xdr:cNvPr id="172" name="Imagem 17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50</xdr:row>
      <xdr:rowOff>0</xdr:rowOff>
    </xdr:from>
    <xdr:ext cx="0" cy="352426"/>
    <xdr:pic>
      <xdr:nvPicPr>
        <xdr:cNvPr id="173" name="Imagem 17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50</xdr:row>
      <xdr:rowOff>0</xdr:rowOff>
    </xdr:from>
    <xdr:ext cx="3173" cy="336551"/>
    <xdr:pic>
      <xdr:nvPicPr>
        <xdr:cNvPr id="175" name="Imagem 174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50</xdr:row>
      <xdr:rowOff>0</xdr:rowOff>
    </xdr:from>
    <xdr:ext cx="0" cy="352426"/>
    <xdr:pic>
      <xdr:nvPicPr>
        <xdr:cNvPr id="176" name="Imagem 175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51</xdr:row>
      <xdr:rowOff>0</xdr:rowOff>
    </xdr:from>
    <xdr:ext cx="3173" cy="336551"/>
    <xdr:pic>
      <xdr:nvPicPr>
        <xdr:cNvPr id="178" name="Imagem 17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51</xdr:row>
      <xdr:rowOff>0</xdr:rowOff>
    </xdr:from>
    <xdr:ext cx="0" cy="352426"/>
    <xdr:pic>
      <xdr:nvPicPr>
        <xdr:cNvPr id="179" name="Imagem 17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51</xdr:row>
      <xdr:rowOff>0</xdr:rowOff>
    </xdr:from>
    <xdr:ext cx="3173" cy="336551"/>
    <xdr:pic>
      <xdr:nvPicPr>
        <xdr:cNvPr id="181" name="Imagem 180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51</xdr:row>
      <xdr:rowOff>0</xdr:rowOff>
    </xdr:from>
    <xdr:ext cx="0" cy="352426"/>
    <xdr:pic>
      <xdr:nvPicPr>
        <xdr:cNvPr id="182" name="Imagem 181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52</xdr:row>
      <xdr:rowOff>0</xdr:rowOff>
    </xdr:from>
    <xdr:ext cx="3173" cy="336551"/>
    <xdr:pic>
      <xdr:nvPicPr>
        <xdr:cNvPr id="184" name="Imagem 18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52</xdr:row>
      <xdr:rowOff>0</xdr:rowOff>
    </xdr:from>
    <xdr:ext cx="0" cy="352426"/>
    <xdr:pic>
      <xdr:nvPicPr>
        <xdr:cNvPr id="185" name="Imagem 18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52</xdr:row>
      <xdr:rowOff>0</xdr:rowOff>
    </xdr:from>
    <xdr:ext cx="3173" cy="336551"/>
    <xdr:pic>
      <xdr:nvPicPr>
        <xdr:cNvPr id="187" name="Imagem 18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52</xdr:row>
      <xdr:rowOff>0</xdr:rowOff>
    </xdr:from>
    <xdr:ext cx="0" cy="352426"/>
    <xdr:pic>
      <xdr:nvPicPr>
        <xdr:cNvPr id="188" name="Imagem 187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53</xdr:row>
      <xdr:rowOff>0</xdr:rowOff>
    </xdr:from>
    <xdr:ext cx="3173" cy="336551"/>
    <xdr:pic>
      <xdr:nvPicPr>
        <xdr:cNvPr id="190" name="Imagem 18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53</xdr:row>
      <xdr:rowOff>0</xdr:rowOff>
    </xdr:from>
    <xdr:ext cx="0" cy="352426"/>
    <xdr:pic>
      <xdr:nvPicPr>
        <xdr:cNvPr id="191" name="Imagem 19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53</xdr:row>
      <xdr:rowOff>0</xdr:rowOff>
    </xdr:from>
    <xdr:ext cx="3173" cy="336551"/>
    <xdr:pic>
      <xdr:nvPicPr>
        <xdr:cNvPr id="193" name="Imagem 19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53</xdr:row>
      <xdr:rowOff>0</xdr:rowOff>
    </xdr:from>
    <xdr:ext cx="0" cy="352426"/>
    <xdr:pic>
      <xdr:nvPicPr>
        <xdr:cNvPr id="194" name="Imagem 19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54</xdr:row>
      <xdr:rowOff>0</xdr:rowOff>
    </xdr:from>
    <xdr:ext cx="3173" cy="336551"/>
    <xdr:pic>
      <xdr:nvPicPr>
        <xdr:cNvPr id="196" name="Imagem 19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54</xdr:row>
      <xdr:rowOff>0</xdr:rowOff>
    </xdr:from>
    <xdr:ext cx="0" cy="352426"/>
    <xdr:pic>
      <xdr:nvPicPr>
        <xdr:cNvPr id="197" name="Imagem 19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54</xdr:row>
      <xdr:rowOff>0</xdr:rowOff>
    </xdr:from>
    <xdr:ext cx="3173" cy="336551"/>
    <xdr:pic>
      <xdr:nvPicPr>
        <xdr:cNvPr id="199" name="Imagem 198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54</xdr:row>
      <xdr:rowOff>0</xdr:rowOff>
    </xdr:from>
    <xdr:ext cx="0" cy="352426"/>
    <xdr:pic>
      <xdr:nvPicPr>
        <xdr:cNvPr id="200" name="Imagem 199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55</xdr:row>
      <xdr:rowOff>0</xdr:rowOff>
    </xdr:from>
    <xdr:ext cx="3173" cy="336551"/>
    <xdr:pic>
      <xdr:nvPicPr>
        <xdr:cNvPr id="202" name="Imagem 20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55</xdr:row>
      <xdr:rowOff>0</xdr:rowOff>
    </xdr:from>
    <xdr:ext cx="0" cy="352426"/>
    <xdr:pic>
      <xdr:nvPicPr>
        <xdr:cNvPr id="203" name="Imagem 20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55</xdr:row>
      <xdr:rowOff>0</xdr:rowOff>
    </xdr:from>
    <xdr:ext cx="3173" cy="336551"/>
    <xdr:pic>
      <xdr:nvPicPr>
        <xdr:cNvPr id="205" name="Imagem 204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55</xdr:row>
      <xdr:rowOff>0</xdr:rowOff>
    </xdr:from>
    <xdr:ext cx="0" cy="352426"/>
    <xdr:pic>
      <xdr:nvPicPr>
        <xdr:cNvPr id="206" name="Imagem 205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56</xdr:row>
      <xdr:rowOff>0</xdr:rowOff>
    </xdr:from>
    <xdr:ext cx="3173" cy="336551"/>
    <xdr:pic>
      <xdr:nvPicPr>
        <xdr:cNvPr id="208" name="Imagem 20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56</xdr:row>
      <xdr:rowOff>0</xdr:rowOff>
    </xdr:from>
    <xdr:ext cx="0" cy="352426"/>
    <xdr:pic>
      <xdr:nvPicPr>
        <xdr:cNvPr id="209" name="Imagem 20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56</xdr:row>
      <xdr:rowOff>0</xdr:rowOff>
    </xdr:from>
    <xdr:ext cx="3173" cy="336551"/>
    <xdr:pic>
      <xdr:nvPicPr>
        <xdr:cNvPr id="211" name="Imagem 210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56</xdr:row>
      <xdr:rowOff>0</xdr:rowOff>
    </xdr:from>
    <xdr:ext cx="0" cy="352426"/>
    <xdr:pic>
      <xdr:nvPicPr>
        <xdr:cNvPr id="212" name="Imagem 211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57</xdr:row>
      <xdr:rowOff>0</xdr:rowOff>
    </xdr:from>
    <xdr:ext cx="3173" cy="336551"/>
    <xdr:pic>
      <xdr:nvPicPr>
        <xdr:cNvPr id="214" name="Imagem 21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57</xdr:row>
      <xdr:rowOff>0</xdr:rowOff>
    </xdr:from>
    <xdr:ext cx="0" cy="352426"/>
    <xdr:pic>
      <xdr:nvPicPr>
        <xdr:cNvPr id="215" name="Imagem 21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57</xdr:row>
      <xdr:rowOff>0</xdr:rowOff>
    </xdr:from>
    <xdr:ext cx="3173" cy="336551"/>
    <xdr:pic>
      <xdr:nvPicPr>
        <xdr:cNvPr id="217" name="Imagem 21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57</xdr:row>
      <xdr:rowOff>0</xdr:rowOff>
    </xdr:from>
    <xdr:ext cx="0" cy="352426"/>
    <xdr:pic>
      <xdr:nvPicPr>
        <xdr:cNvPr id="218" name="Imagem 217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58</xdr:row>
      <xdr:rowOff>0</xdr:rowOff>
    </xdr:from>
    <xdr:ext cx="3173" cy="336551"/>
    <xdr:pic>
      <xdr:nvPicPr>
        <xdr:cNvPr id="220" name="Imagem 21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58</xdr:row>
      <xdr:rowOff>0</xdr:rowOff>
    </xdr:from>
    <xdr:ext cx="0" cy="352426"/>
    <xdr:pic>
      <xdr:nvPicPr>
        <xdr:cNvPr id="221" name="Imagem 22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58</xdr:row>
      <xdr:rowOff>0</xdr:rowOff>
    </xdr:from>
    <xdr:ext cx="3173" cy="336551"/>
    <xdr:pic>
      <xdr:nvPicPr>
        <xdr:cNvPr id="223" name="Imagem 22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58</xdr:row>
      <xdr:rowOff>0</xdr:rowOff>
    </xdr:from>
    <xdr:ext cx="0" cy="352426"/>
    <xdr:pic>
      <xdr:nvPicPr>
        <xdr:cNvPr id="224" name="Imagem 22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59</xdr:row>
      <xdr:rowOff>0</xdr:rowOff>
    </xdr:from>
    <xdr:ext cx="3173" cy="336551"/>
    <xdr:pic>
      <xdr:nvPicPr>
        <xdr:cNvPr id="226" name="Imagem 22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59</xdr:row>
      <xdr:rowOff>0</xdr:rowOff>
    </xdr:from>
    <xdr:ext cx="0" cy="352426"/>
    <xdr:pic>
      <xdr:nvPicPr>
        <xdr:cNvPr id="227" name="Imagem 22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59</xdr:row>
      <xdr:rowOff>0</xdr:rowOff>
    </xdr:from>
    <xdr:ext cx="3173" cy="336551"/>
    <xdr:pic>
      <xdr:nvPicPr>
        <xdr:cNvPr id="229" name="Imagem 228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59</xdr:row>
      <xdr:rowOff>0</xdr:rowOff>
    </xdr:from>
    <xdr:ext cx="0" cy="352426"/>
    <xdr:pic>
      <xdr:nvPicPr>
        <xdr:cNvPr id="230" name="Imagem 229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60</xdr:row>
      <xdr:rowOff>0</xdr:rowOff>
    </xdr:from>
    <xdr:ext cx="3173" cy="336551"/>
    <xdr:pic>
      <xdr:nvPicPr>
        <xdr:cNvPr id="232" name="Imagem 23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60</xdr:row>
      <xdr:rowOff>0</xdr:rowOff>
    </xdr:from>
    <xdr:ext cx="0" cy="352426"/>
    <xdr:pic>
      <xdr:nvPicPr>
        <xdr:cNvPr id="233" name="Imagem 23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60</xdr:row>
      <xdr:rowOff>0</xdr:rowOff>
    </xdr:from>
    <xdr:ext cx="3173" cy="336551"/>
    <xdr:pic>
      <xdr:nvPicPr>
        <xdr:cNvPr id="235" name="Imagem 234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60</xdr:row>
      <xdr:rowOff>0</xdr:rowOff>
    </xdr:from>
    <xdr:ext cx="0" cy="352426"/>
    <xdr:pic>
      <xdr:nvPicPr>
        <xdr:cNvPr id="236" name="Imagem 235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61</xdr:row>
      <xdr:rowOff>0</xdr:rowOff>
    </xdr:from>
    <xdr:ext cx="3173" cy="336551"/>
    <xdr:pic>
      <xdr:nvPicPr>
        <xdr:cNvPr id="238" name="Imagem 23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61</xdr:row>
      <xdr:rowOff>0</xdr:rowOff>
    </xdr:from>
    <xdr:ext cx="0" cy="352426"/>
    <xdr:pic>
      <xdr:nvPicPr>
        <xdr:cNvPr id="239" name="Imagem 23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61</xdr:row>
      <xdr:rowOff>0</xdr:rowOff>
    </xdr:from>
    <xdr:ext cx="3173" cy="336551"/>
    <xdr:pic>
      <xdr:nvPicPr>
        <xdr:cNvPr id="241" name="Imagem 240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61</xdr:row>
      <xdr:rowOff>0</xdr:rowOff>
    </xdr:from>
    <xdr:ext cx="0" cy="352426"/>
    <xdr:pic>
      <xdr:nvPicPr>
        <xdr:cNvPr id="242" name="Imagem 241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62</xdr:row>
      <xdr:rowOff>0</xdr:rowOff>
    </xdr:from>
    <xdr:ext cx="3173" cy="336551"/>
    <xdr:pic>
      <xdr:nvPicPr>
        <xdr:cNvPr id="244" name="Imagem 24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62</xdr:row>
      <xdr:rowOff>0</xdr:rowOff>
    </xdr:from>
    <xdr:ext cx="0" cy="352426"/>
    <xdr:pic>
      <xdr:nvPicPr>
        <xdr:cNvPr id="245" name="Imagem 24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62</xdr:row>
      <xdr:rowOff>0</xdr:rowOff>
    </xdr:from>
    <xdr:ext cx="3173" cy="336551"/>
    <xdr:pic>
      <xdr:nvPicPr>
        <xdr:cNvPr id="247" name="Imagem 24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62</xdr:row>
      <xdr:rowOff>0</xdr:rowOff>
    </xdr:from>
    <xdr:ext cx="0" cy="352426"/>
    <xdr:pic>
      <xdr:nvPicPr>
        <xdr:cNvPr id="248" name="Imagem 247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63</xdr:row>
      <xdr:rowOff>0</xdr:rowOff>
    </xdr:from>
    <xdr:ext cx="3173" cy="336551"/>
    <xdr:pic>
      <xdr:nvPicPr>
        <xdr:cNvPr id="250" name="Imagem 24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63</xdr:row>
      <xdr:rowOff>0</xdr:rowOff>
    </xdr:from>
    <xdr:ext cx="0" cy="352426"/>
    <xdr:pic>
      <xdr:nvPicPr>
        <xdr:cNvPr id="251" name="Imagem 25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63</xdr:row>
      <xdr:rowOff>0</xdr:rowOff>
    </xdr:from>
    <xdr:ext cx="3173" cy="336551"/>
    <xdr:pic>
      <xdr:nvPicPr>
        <xdr:cNvPr id="253" name="Imagem 25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63</xdr:row>
      <xdr:rowOff>0</xdr:rowOff>
    </xdr:from>
    <xdr:ext cx="0" cy="352426"/>
    <xdr:pic>
      <xdr:nvPicPr>
        <xdr:cNvPr id="254" name="Imagem 25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64</xdr:row>
      <xdr:rowOff>0</xdr:rowOff>
    </xdr:from>
    <xdr:ext cx="3173" cy="336551"/>
    <xdr:pic>
      <xdr:nvPicPr>
        <xdr:cNvPr id="256" name="Imagem 25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64</xdr:row>
      <xdr:rowOff>0</xdr:rowOff>
    </xdr:from>
    <xdr:ext cx="0" cy="352426"/>
    <xdr:pic>
      <xdr:nvPicPr>
        <xdr:cNvPr id="257" name="Imagem 25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64</xdr:row>
      <xdr:rowOff>0</xdr:rowOff>
    </xdr:from>
    <xdr:ext cx="3173" cy="336551"/>
    <xdr:pic>
      <xdr:nvPicPr>
        <xdr:cNvPr id="259" name="Imagem 258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64</xdr:row>
      <xdr:rowOff>0</xdr:rowOff>
    </xdr:from>
    <xdr:ext cx="0" cy="352426"/>
    <xdr:pic>
      <xdr:nvPicPr>
        <xdr:cNvPr id="260" name="Imagem 259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65</xdr:row>
      <xdr:rowOff>0</xdr:rowOff>
    </xdr:from>
    <xdr:ext cx="3173" cy="336551"/>
    <xdr:pic>
      <xdr:nvPicPr>
        <xdr:cNvPr id="262" name="Imagem 26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65</xdr:row>
      <xdr:rowOff>0</xdr:rowOff>
    </xdr:from>
    <xdr:ext cx="0" cy="352426"/>
    <xdr:pic>
      <xdr:nvPicPr>
        <xdr:cNvPr id="263" name="Imagem 26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65</xdr:row>
      <xdr:rowOff>0</xdr:rowOff>
    </xdr:from>
    <xdr:ext cx="3173" cy="336551"/>
    <xdr:pic>
      <xdr:nvPicPr>
        <xdr:cNvPr id="265" name="Imagem 264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65</xdr:row>
      <xdr:rowOff>0</xdr:rowOff>
    </xdr:from>
    <xdr:ext cx="0" cy="352426"/>
    <xdr:pic>
      <xdr:nvPicPr>
        <xdr:cNvPr id="266" name="Imagem 265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66</xdr:row>
      <xdr:rowOff>0</xdr:rowOff>
    </xdr:from>
    <xdr:ext cx="3173" cy="336551"/>
    <xdr:pic>
      <xdr:nvPicPr>
        <xdr:cNvPr id="268" name="Imagem 26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66</xdr:row>
      <xdr:rowOff>0</xdr:rowOff>
    </xdr:from>
    <xdr:ext cx="0" cy="352426"/>
    <xdr:pic>
      <xdr:nvPicPr>
        <xdr:cNvPr id="269" name="Imagem 26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66</xdr:row>
      <xdr:rowOff>0</xdr:rowOff>
    </xdr:from>
    <xdr:ext cx="3173" cy="336551"/>
    <xdr:pic>
      <xdr:nvPicPr>
        <xdr:cNvPr id="271" name="Imagem 270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66</xdr:row>
      <xdr:rowOff>0</xdr:rowOff>
    </xdr:from>
    <xdr:ext cx="0" cy="352426"/>
    <xdr:pic>
      <xdr:nvPicPr>
        <xdr:cNvPr id="272" name="Imagem 271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67</xdr:row>
      <xdr:rowOff>0</xdr:rowOff>
    </xdr:from>
    <xdr:ext cx="3173" cy="336551"/>
    <xdr:pic>
      <xdr:nvPicPr>
        <xdr:cNvPr id="274" name="Imagem 27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67</xdr:row>
      <xdr:rowOff>0</xdr:rowOff>
    </xdr:from>
    <xdr:ext cx="0" cy="352426"/>
    <xdr:pic>
      <xdr:nvPicPr>
        <xdr:cNvPr id="275" name="Imagem 27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67</xdr:row>
      <xdr:rowOff>0</xdr:rowOff>
    </xdr:from>
    <xdr:ext cx="3173" cy="336551"/>
    <xdr:pic>
      <xdr:nvPicPr>
        <xdr:cNvPr id="277" name="Imagem 27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67</xdr:row>
      <xdr:rowOff>0</xdr:rowOff>
    </xdr:from>
    <xdr:ext cx="0" cy="352426"/>
    <xdr:pic>
      <xdr:nvPicPr>
        <xdr:cNvPr id="278" name="Imagem 277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68</xdr:row>
      <xdr:rowOff>0</xdr:rowOff>
    </xdr:from>
    <xdr:ext cx="3173" cy="336551"/>
    <xdr:pic>
      <xdr:nvPicPr>
        <xdr:cNvPr id="280" name="Imagem 27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68</xdr:row>
      <xdr:rowOff>0</xdr:rowOff>
    </xdr:from>
    <xdr:ext cx="0" cy="352426"/>
    <xdr:pic>
      <xdr:nvPicPr>
        <xdr:cNvPr id="281" name="Imagem 28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68</xdr:row>
      <xdr:rowOff>0</xdr:rowOff>
    </xdr:from>
    <xdr:ext cx="3173" cy="336551"/>
    <xdr:pic>
      <xdr:nvPicPr>
        <xdr:cNvPr id="283" name="Imagem 28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68</xdr:row>
      <xdr:rowOff>0</xdr:rowOff>
    </xdr:from>
    <xdr:ext cx="0" cy="352426"/>
    <xdr:pic>
      <xdr:nvPicPr>
        <xdr:cNvPr id="284" name="Imagem 28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69</xdr:row>
      <xdr:rowOff>0</xdr:rowOff>
    </xdr:from>
    <xdr:ext cx="3173" cy="336551"/>
    <xdr:pic>
      <xdr:nvPicPr>
        <xdr:cNvPr id="286" name="Imagem 28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69</xdr:row>
      <xdr:rowOff>0</xdr:rowOff>
    </xdr:from>
    <xdr:ext cx="0" cy="352426"/>
    <xdr:pic>
      <xdr:nvPicPr>
        <xdr:cNvPr id="287" name="Imagem 28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69</xdr:row>
      <xdr:rowOff>0</xdr:rowOff>
    </xdr:from>
    <xdr:ext cx="3173" cy="336551"/>
    <xdr:pic>
      <xdr:nvPicPr>
        <xdr:cNvPr id="289" name="Imagem 288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69</xdr:row>
      <xdr:rowOff>0</xdr:rowOff>
    </xdr:from>
    <xdr:ext cx="0" cy="352426"/>
    <xdr:pic>
      <xdr:nvPicPr>
        <xdr:cNvPr id="290" name="Imagem 289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70</xdr:row>
      <xdr:rowOff>0</xdr:rowOff>
    </xdr:from>
    <xdr:ext cx="3173" cy="336551"/>
    <xdr:pic>
      <xdr:nvPicPr>
        <xdr:cNvPr id="292" name="Imagem 29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70</xdr:row>
      <xdr:rowOff>0</xdr:rowOff>
    </xdr:from>
    <xdr:ext cx="0" cy="352426"/>
    <xdr:pic>
      <xdr:nvPicPr>
        <xdr:cNvPr id="293" name="Imagem 29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70</xdr:row>
      <xdr:rowOff>0</xdr:rowOff>
    </xdr:from>
    <xdr:ext cx="3173" cy="336551"/>
    <xdr:pic>
      <xdr:nvPicPr>
        <xdr:cNvPr id="295" name="Imagem 294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70</xdr:row>
      <xdr:rowOff>0</xdr:rowOff>
    </xdr:from>
    <xdr:ext cx="0" cy="352426"/>
    <xdr:pic>
      <xdr:nvPicPr>
        <xdr:cNvPr id="296" name="Imagem 295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71</xdr:row>
      <xdr:rowOff>0</xdr:rowOff>
    </xdr:from>
    <xdr:ext cx="3173" cy="336551"/>
    <xdr:pic>
      <xdr:nvPicPr>
        <xdr:cNvPr id="298" name="Imagem 29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71</xdr:row>
      <xdr:rowOff>0</xdr:rowOff>
    </xdr:from>
    <xdr:ext cx="0" cy="352426"/>
    <xdr:pic>
      <xdr:nvPicPr>
        <xdr:cNvPr id="299" name="Imagem 29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71</xdr:row>
      <xdr:rowOff>0</xdr:rowOff>
    </xdr:from>
    <xdr:ext cx="3173" cy="336551"/>
    <xdr:pic>
      <xdr:nvPicPr>
        <xdr:cNvPr id="301" name="Imagem 300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71</xdr:row>
      <xdr:rowOff>0</xdr:rowOff>
    </xdr:from>
    <xdr:ext cx="0" cy="352426"/>
    <xdr:pic>
      <xdr:nvPicPr>
        <xdr:cNvPr id="302" name="Imagem 301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72</xdr:row>
      <xdr:rowOff>0</xdr:rowOff>
    </xdr:from>
    <xdr:ext cx="3173" cy="336551"/>
    <xdr:pic>
      <xdr:nvPicPr>
        <xdr:cNvPr id="304" name="Imagem 30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72</xdr:row>
      <xdr:rowOff>0</xdr:rowOff>
    </xdr:from>
    <xdr:ext cx="0" cy="352426"/>
    <xdr:pic>
      <xdr:nvPicPr>
        <xdr:cNvPr id="305" name="Imagem 30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72</xdr:row>
      <xdr:rowOff>0</xdr:rowOff>
    </xdr:from>
    <xdr:ext cx="3173" cy="336551"/>
    <xdr:pic>
      <xdr:nvPicPr>
        <xdr:cNvPr id="307" name="Imagem 30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72</xdr:row>
      <xdr:rowOff>0</xdr:rowOff>
    </xdr:from>
    <xdr:ext cx="0" cy="352426"/>
    <xdr:pic>
      <xdr:nvPicPr>
        <xdr:cNvPr id="308" name="Imagem 307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73</xdr:row>
      <xdr:rowOff>0</xdr:rowOff>
    </xdr:from>
    <xdr:ext cx="3173" cy="336551"/>
    <xdr:pic>
      <xdr:nvPicPr>
        <xdr:cNvPr id="310" name="Imagem 30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73</xdr:row>
      <xdr:rowOff>0</xdr:rowOff>
    </xdr:from>
    <xdr:ext cx="0" cy="352426"/>
    <xdr:pic>
      <xdr:nvPicPr>
        <xdr:cNvPr id="311" name="Imagem 31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73</xdr:row>
      <xdr:rowOff>0</xdr:rowOff>
    </xdr:from>
    <xdr:ext cx="3173" cy="336551"/>
    <xdr:pic>
      <xdr:nvPicPr>
        <xdr:cNvPr id="313" name="Imagem 31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73</xdr:row>
      <xdr:rowOff>0</xdr:rowOff>
    </xdr:from>
    <xdr:ext cx="0" cy="352426"/>
    <xdr:pic>
      <xdr:nvPicPr>
        <xdr:cNvPr id="314" name="Imagem 31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74</xdr:row>
      <xdr:rowOff>0</xdr:rowOff>
    </xdr:from>
    <xdr:ext cx="3173" cy="336551"/>
    <xdr:pic>
      <xdr:nvPicPr>
        <xdr:cNvPr id="316" name="Imagem 31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74</xdr:row>
      <xdr:rowOff>0</xdr:rowOff>
    </xdr:from>
    <xdr:ext cx="0" cy="352426"/>
    <xdr:pic>
      <xdr:nvPicPr>
        <xdr:cNvPr id="317" name="Imagem 31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74</xdr:row>
      <xdr:rowOff>0</xdr:rowOff>
    </xdr:from>
    <xdr:ext cx="3173" cy="336551"/>
    <xdr:pic>
      <xdr:nvPicPr>
        <xdr:cNvPr id="319" name="Imagem 318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74</xdr:row>
      <xdr:rowOff>0</xdr:rowOff>
    </xdr:from>
    <xdr:ext cx="0" cy="352426"/>
    <xdr:pic>
      <xdr:nvPicPr>
        <xdr:cNvPr id="320" name="Imagem 319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75</xdr:row>
      <xdr:rowOff>0</xdr:rowOff>
    </xdr:from>
    <xdr:ext cx="3173" cy="336551"/>
    <xdr:pic>
      <xdr:nvPicPr>
        <xdr:cNvPr id="322" name="Imagem 32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75</xdr:row>
      <xdr:rowOff>0</xdr:rowOff>
    </xdr:from>
    <xdr:ext cx="0" cy="352426"/>
    <xdr:pic>
      <xdr:nvPicPr>
        <xdr:cNvPr id="323" name="Imagem 32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34</xdr:row>
      <xdr:rowOff>0</xdr:rowOff>
    </xdr:from>
    <xdr:ext cx="3173" cy="336551"/>
    <xdr:pic>
      <xdr:nvPicPr>
        <xdr:cNvPr id="326" name="Imagem 32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34</xdr:row>
      <xdr:rowOff>0</xdr:rowOff>
    </xdr:from>
    <xdr:ext cx="0" cy="352426"/>
    <xdr:pic>
      <xdr:nvPicPr>
        <xdr:cNvPr id="327" name="Imagem 32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35</xdr:row>
      <xdr:rowOff>0</xdr:rowOff>
    </xdr:from>
    <xdr:ext cx="3173" cy="336551"/>
    <xdr:pic>
      <xdr:nvPicPr>
        <xdr:cNvPr id="328" name="Imagem 32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35</xdr:row>
      <xdr:rowOff>0</xdr:rowOff>
    </xdr:from>
    <xdr:ext cx="0" cy="352426"/>
    <xdr:pic>
      <xdr:nvPicPr>
        <xdr:cNvPr id="329" name="Imagem 32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35</xdr:row>
      <xdr:rowOff>0</xdr:rowOff>
    </xdr:from>
    <xdr:ext cx="3173" cy="336551"/>
    <xdr:pic>
      <xdr:nvPicPr>
        <xdr:cNvPr id="330" name="Imagem 32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35</xdr:row>
      <xdr:rowOff>0</xdr:rowOff>
    </xdr:from>
    <xdr:ext cx="0" cy="352426"/>
    <xdr:pic>
      <xdr:nvPicPr>
        <xdr:cNvPr id="331" name="Imagem 33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36</xdr:row>
      <xdr:rowOff>0</xdr:rowOff>
    </xdr:from>
    <xdr:ext cx="3173" cy="336551"/>
    <xdr:pic>
      <xdr:nvPicPr>
        <xdr:cNvPr id="332" name="Imagem 33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36</xdr:row>
      <xdr:rowOff>0</xdr:rowOff>
    </xdr:from>
    <xdr:ext cx="0" cy="352426"/>
    <xdr:pic>
      <xdr:nvPicPr>
        <xdr:cNvPr id="333" name="Imagem 33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36</xdr:row>
      <xdr:rowOff>0</xdr:rowOff>
    </xdr:from>
    <xdr:ext cx="3173" cy="336551"/>
    <xdr:pic>
      <xdr:nvPicPr>
        <xdr:cNvPr id="334" name="Imagem 33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36</xdr:row>
      <xdr:rowOff>0</xdr:rowOff>
    </xdr:from>
    <xdr:ext cx="0" cy="352426"/>
    <xdr:pic>
      <xdr:nvPicPr>
        <xdr:cNvPr id="335" name="Imagem 33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36</xdr:row>
      <xdr:rowOff>0</xdr:rowOff>
    </xdr:from>
    <xdr:ext cx="3173" cy="336551"/>
    <xdr:pic>
      <xdr:nvPicPr>
        <xdr:cNvPr id="336" name="Imagem 33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36</xdr:row>
      <xdr:rowOff>0</xdr:rowOff>
    </xdr:from>
    <xdr:ext cx="0" cy="352426"/>
    <xdr:pic>
      <xdr:nvPicPr>
        <xdr:cNvPr id="337" name="Imagem 33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37</xdr:row>
      <xdr:rowOff>0</xdr:rowOff>
    </xdr:from>
    <xdr:ext cx="3173" cy="336551"/>
    <xdr:pic>
      <xdr:nvPicPr>
        <xdr:cNvPr id="338" name="Imagem 33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37</xdr:row>
      <xdr:rowOff>0</xdr:rowOff>
    </xdr:from>
    <xdr:ext cx="0" cy="352426"/>
    <xdr:pic>
      <xdr:nvPicPr>
        <xdr:cNvPr id="339" name="Imagem 33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37</xdr:row>
      <xdr:rowOff>0</xdr:rowOff>
    </xdr:from>
    <xdr:ext cx="3173" cy="336551"/>
    <xdr:pic>
      <xdr:nvPicPr>
        <xdr:cNvPr id="340" name="Imagem 33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37</xdr:row>
      <xdr:rowOff>0</xdr:rowOff>
    </xdr:from>
    <xdr:ext cx="0" cy="352426"/>
    <xdr:pic>
      <xdr:nvPicPr>
        <xdr:cNvPr id="341" name="Imagem 34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37</xdr:row>
      <xdr:rowOff>0</xdr:rowOff>
    </xdr:from>
    <xdr:ext cx="3173" cy="336551"/>
    <xdr:pic>
      <xdr:nvPicPr>
        <xdr:cNvPr id="342" name="Imagem 34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37</xdr:row>
      <xdr:rowOff>0</xdr:rowOff>
    </xdr:from>
    <xdr:ext cx="0" cy="352426"/>
    <xdr:pic>
      <xdr:nvPicPr>
        <xdr:cNvPr id="343" name="Imagem 34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38</xdr:row>
      <xdr:rowOff>0</xdr:rowOff>
    </xdr:from>
    <xdr:ext cx="3173" cy="336551"/>
    <xdr:pic>
      <xdr:nvPicPr>
        <xdr:cNvPr id="344" name="Imagem 34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38</xdr:row>
      <xdr:rowOff>0</xdr:rowOff>
    </xdr:from>
    <xdr:ext cx="0" cy="352426"/>
    <xdr:pic>
      <xdr:nvPicPr>
        <xdr:cNvPr id="345" name="Imagem 34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38</xdr:row>
      <xdr:rowOff>0</xdr:rowOff>
    </xdr:from>
    <xdr:ext cx="3173" cy="336551"/>
    <xdr:pic>
      <xdr:nvPicPr>
        <xdr:cNvPr id="346" name="Imagem 34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38</xdr:row>
      <xdr:rowOff>0</xdr:rowOff>
    </xdr:from>
    <xdr:ext cx="0" cy="352426"/>
    <xdr:pic>
      <xdr:nvPicPr>
        <xdr:cNvPr id="347" name="Imagem 34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38</xdr:row>
      <xdr:rowOff>0</xdr:rowOff>
    </xdr:from>
    <xdr:ext cx="3173" cy="336551"/>
    <xdr:pic>
      <xdr:nvPicPr>
        <xdr:cNvPr id="348" name="Imagem 34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38</xdr:row>
      <xdr:rowOff>0</xdr:rowOff>
    </xdr:from>
    <xdr:ext cx="0" cy="352426"/>
    <xdr:pic>
      <xdr:nvPicPr>
        <xdr:cNvPr id="349" name="Imagem 34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39</xdr:row>
      <xdr:rowOff>0</xdr:rowOff>
    </xdr:from>
    <xdr:ext cx="3173" cy="336551"/>
    <xdr:pic>
      <xdr:nvPicPr>
        <xdr:cNvPr id="350" name="Imagem 34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39</xdr:row>
      <xdr:rowOff>0</xdr:rowOff>
    </xdr:from>
    <xdr:ext cx="0" cy="352426"/>
    <xdr:pic>
      <xdr:nvPicPr>
        <xdr:cNvPr id="351" name="Imagem 35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39</xdr:row>
      <xdr:rowOff>0</xdr:rowOff>
    </xdr:from>
    <xdr:ext cx="3173" cy="336551"/>
    <xdr:pic>
      <xdr:nvPicPr>
        <xdr:cNvPr id="352" name="Imagem 35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39</xdr:row>
      <xdr:rowOff>0</xdr:rowOff>
    </xdr:from>
    <xdr:ext cx="0" cy="352426"/>
    <xdr:pic>
      <xdr:nvPicPr>
        <xdr:cNvPr id="353" name="Imagem 35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39</xdr:row>
      <xdr:rowOff>0</xdr:rowOff>
    </xdr:from>
    <xdr:ext cx="3173" cy="336551"/>
    <xdr:pic>
      <xdr:nvPicPr>
        <xdr:cNvPr id="354" name="Imagem 35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39</xdr:row>
      <xdr:rowOff>0</xdr:rowOff>
    </xdr:from>
    <xdr:ext cx="0" cy="352426"/>
    <xdr:pic>
      <xdr:nvPicPr>
        <xdr:cNvPr id="355" name="Imagem 35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40</xdr:row>
      <xdr:rowOff>0</xdr:rowOff>
    </xdr:from>
    <xdr:ext cx="3173" cy="336551"/>
    <xdr:pic>
      <xdr:nvPicPr>
        <xdr:cNvPr id="356" name="Imagem 35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40</xdr:row>
      <xdr:rowOff>0</xdr:rowOff>
    </xdr:from>
    <xdr:ext cx="0" cy="352426"/>
    <xdr:pic>
      <xdr:nvPicPr>
        <xdr:cNvPr id="357" name="Imagem 35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40</xdr:row>
      <xdr:rowOff>0</xdr:rowOff>
    </xdr:from>
    <xdr:ext cx="3173" cy="336551"/>
    <xdr:pic>
      <xdr:nvPicPr>
        <xdr:cNvPr id="358" name="Imagem 35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40</xdr:row>
      <xdr:rowOff>0</xdr:rowOff>
    </xdr:from>
    <xdr:ext cx="0" cy="352426"/>
    <xdr:pic>
      <xdr:nvPicPr>
        <xdr:cNvPr id="359" name="Imagem 35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40</xdr:row>
      <xdr:rowOff>0</xdr:rowOff>
    </xdr:from>
    <xdr:ext cx="3173" cy="336551"/>
    <xdr:pic>
      <xdr:nvPicPr>
        <xdr:cNvPr id="360" name="Imagem 35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40</xdr:row>
      <xdr:rowOff>0</xdr:rowOff>
    </xdr:from>
    <xdr:ext cx="0" cy="352426"/>
    <xdr:pic>
      <xdr:nvPicPr>
        <xdr:cNvPr id="361" name="Imagem 36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41</xdr:row>
      <xdr:rowOff>0</xdr:rowOff>
    </xdr:from>
    <xdr:ext cx="3173" cy="336551"/>
    <xdr:pic>
      <xdr:nvPicPr>
        <xdr:cNvPr id="362" name="Imagem 36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41</xdr:row>
      <xdr:rowOff>0</xdr:rowOff>
    </xdr:from>
    <xdr:ext cx="0" cy="352426"/>
    <xdr:pic>
      <xdr:nvPicPr>
        <xdr:cNvPr id="363" name="Imagem 36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41</xdr:row>
      <xdr:rowOff>0</xdr:rowOff>
    </xdr:from>
    <xdr:ext cx="3173" cy="336551"/>
    <xdr:pic>
      <xdr:nvPicPr>
        <xdr:cNvPr id="364" name="Imagem 36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41</xdr:row>
      <xdr:rowOff>0</xdr:rowOff>
    </xdr:from>
    <xdr:ext cx="0" cy="352426"/>
    <xdr:pic>
      <xdr:nvPicPr>
        <xdr:cNvPr id="365" name="Imagem 36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41</xdr:row>
      <xdr:rowOff>0</xdr:rowOff>
    </xdr:from>
    <xdr:ext cx="3173" cy="336551"/>
    <xdr:pic>
      <xdr:nvPicPr>
        <xdr:cNvPr id="366" name="Imagem 36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41</xdr:row>
      <xdr:rowOff>0</xdr:rowOff>
    </xdr:from>
    <xdr:ext cx="0" cy="352426"/>
    <xdr:pic>
      <xdr:nvPicPr>
        <xdr:cNvPr id="367" name="Imagem 36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42</xdr:row>
      <xdr:rowOff>0</xdr:rowOff>
    </xdr:from>
    <xdr:ext cx="3173" cy="336551"/>
    <xdr:pic>
      <xdr:nvPicPr>
        <xdr:cNvPr id="368" name="Imagem 36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42</xdr:row>
      <xdr:rowOff>0</xdr:rowOff>
    </xdr:from>
    <xdr:ext cx="0" cy="352426"/>
    <xdr:pic>
      <xdr:nvPicPr>
        <xdr:cNvPr id="369" name="Imagem 36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42</xdr:row>
      <xdr:rowOff>0</xdr:rowOff>
    </xdr:from>
    <xdr:ext cx="3173" cy="336551"/>
    <xdr:pic>
      <xdr:nvPicPr>
        <xdr:cNvPr id="370" name="Imagem 36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42</xdr:row>
      <xdr:rowOff>0</xdr:rowOff>
    </xdr:from>
    <xdr:ext cx="0" cy="352426"/>
    <xdr:pic>
      <xdr:nvPicPr>
        <xdr:cNvPr id="371" name="Imagem 37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42</xdr:row>
      <xdr:rowOff>0</xdr:rowOff>
    </xdr:from>
    <xdr:ext cx="3173" cy="336551"/>
    <xdr:pic>
      <xdr:nvPicPr>
        <xdr:cNvPr id="372" name="Imagem 37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42</xdr:row>
      <xdr:rowOff>0</xdr:rowOff>
    </xdr:from>
    <xdr:ext cx="0" cy="352426"/>
    <xdr:pic>
      <xdr:nvPicPr>
        <xdr:cNvPr id="373" name="Imagem 37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43</xdr:row>
      <xdr:rowOff>0</xdr:rowOff>
    </xdr:from>
    <xdr:ext cx="3173" cy="336551"/>
    <xdr:pic>
      <xdr:nvPicPr>
        <xdr:cNvPr id="374" name="Imagem 37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43</xdr:row>
      <xdr:rowOff>0</xdr:rowOff>
    </xdr:from>
    <xdr:ext cx="0" cy="352426"/>
    <xdr:pic>
      <xdr:nvPicPr>
        <xdr:cNvPr id="375" name="Imagem 37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43</xdr:row>
      <xdr:rowOff>0</xdr:rowOff>
    </xdr:from>
    <xdr:ext cx="3173" cy="336551"/>
    <xdr:pic>
      <xdr:nvPicPr>
        <xdr:cNvPr id="376" name="Imagem 37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43</xdr:row>
      <xdr:rowOff>0</xdr:rowOff>
    </xdr:from>
    <xdr:ext cx="0" cy="352426"/>
    <xdr:pic>
      <xdr:nvPicPr>
        <xdr:cNvPr id="377" name="Imagem 37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43</xdr:row>
      <xdr:rowOff>0</xdr:rowOff>
    </xdr:from>
    <xdr:ext cx="3173" cy="336551"/>
    <xdr:pic>
      <xdr:nvPicPr>
        <xdr:cNvPr id="378" name="Imagem 37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43</xdr:row>
      <xdr:rowOff>0</xdr:rowOff>
    </xdr:from>
    <xdr:ext cx="0" cy="352426"/>
    <xdr:pic>
      <xdr:nvPicPr>
        <xdr:cNvPr id="379" name="Imagem 37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44</xdr:row>
      <xdr:rowOff>0</xdr:rowOff>
    </xdr:from>
    <xdr:ext cx="3173" cy="336551"/>
    <xdr:pic>
      <xdr:nvPicPr>
        <xdr:cNvPr id="380" name="Imagem 37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44</xdr:row>
      <xdr:rowOff>0</xdr:rowOff>
    </xdr:from>
    <xdr:ext cx="0" cy="352426"/>
    <xdr:pic>
      <xdr:nvPicPr>
        <xdr:cNvPr id="381" name="Imagem 38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44</xdr:row>
      <xdr:rowOff>0</xdr:rowOff>
    </xdr:from>
    <xdr:ext cx="3173" cy="336551"/>
    <xdr:pic>
      <xdr:nvPicPr>
        <xdr:cNvPr id="382" name="Imagem 38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44</xdr:row>
      <xdr:rowOff>0</xdr:rowOff>
    </xdr:from>
    <xdr:ext cx="0" cy="352426"/>
    <xdr:pic>
      <xdr:nvPicPr>
        <xdr:cNvPr id="383" name="Imagem 38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44</xdr:row>
      <xdr:rowOff>0</xdr:rowOff>
    </xdr:from>
    <xdr:ext cx="3173" cy="336551"/>
    <xdr:pic>
      <xdr:nvPicPr>
        <xdr:cNvPr id="384" name="Imagem 38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44</xdr:row>
      <xdr:rowOff>0</xdr:rowOff>
    </xdr:from>
    <xdr:ext cx="0" cy="352426"/>
    <xdr:pic>
      <xdr:nvPicPr>
        <xdr:cNvPr id="385" name="Imagem 38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45</xdr:row>
      <xdr:rowOff>0</xdr:rowOff>
    </xdr:from>
    <xdr:ext cx="3173" cy="336551"/>
    <xdr:pic>
      <xdr:nvPicPr>
        <xdr:cNvPr id="386" name="Imagem 38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45</xdr:row>
      <xdr:rowOff>0</xdr:rowOff>
    </xdr:from>
    <xdr:ext cx="0" cy="352426"/>
    <xdr:pic>
      <xdr:nvPicPr>
        <xdr:cNvPr id="387" name="Imagem 38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45</xdr:row>
      <xdr:rowOff>0</xdr:rowOff>
    </xdr:from>
    <xdr:ext cx="3173" cy="336551"/>
    <xdr:pic>
      <xdr:nvPicPr>
        <xdr:cNvPr id="388" name="Imagem 38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45</xdr:row>
      <xdr:rowOff>0</xdr:rowOff>
    </xdr:from>
    <xdr:ext cx="0" cy="352426"/>
    <xdr:pic>
      <xdr:nvPicPr>
        <xdr:cNvPr id="389" name="Imagem 38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45</xdr:row>
      <xdr:rowOff>0</xdr:rowOff>
    </xdr:from>
    <xdr:ext cx="3173" cy="336551"/>
    <xdr:pic>
      <xdr:nvPicPr>
        <xdr:cNvPr id="390" name="Imagem 38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45</xdr:row>
      <xdr:rowOff>0</xdr:rowOff>
    </xdr:from>
    <xdr:ext cx="0" cy="352426"/>
    <xdr:pic>
      <xdr:nvPicPr>
        <xdr:cNvPr id="391" name="Imagem 39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46</xdr:row>
      <xdr:rowOff>0</xdr:rowOff>
    </xdr:from>
    <xdr:ext cx="3173" cy="336551"/>
    <xdr:pic>
      <xdr:nvPicPr>
        <xdr:cNvPr id="392" name="Imagem 39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46</xdr:row>
      <xdr:rowOff>0</xdr:rowOff>
    </xdr:from>
    <xdr:ext cx="0" cy="352426"/>
    <xdr:pic>
      <xdr:nvPicPr>
        <xdr:cNvPr id="393" name="Imagem 39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46</xdr:row>
      <xdr:rowOff>0</xdr:rowOff>
    </xdr:from>
    <xdr:ext cx="3173" cy="336551"/>
    <xdr:pic>
      <xdr:nvPicPr>
        <xdr:cNvPr id="394" name="Imagem 39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46</xdr:row>
      <xdr:rowOff>0</xdr:rowOff>
    </xdr:from>
    <xdr:ext cx="0" cy="352426"/>
    <xdr:pic>
      <xdr:nvPicPr>
        <xdr:cNvPr id="395" name="Imagem 39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46</xdr:row>
      <xdr:rowOff>0</xdr:rowOff>
    </xdr:from>
    <xdr:ext cx="3173" cy="336551"/>
    <xdr:pic>
      <xdr:nvPicPr>
        <xdr:cNvPr id="396" name="Imagem 39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46</xdr:row>
      <xdr:rowOff>0</xdr:rowOff>
    </xdr:from>
    <xdr:ext cx="0" cy="352426"/>
    <xdr:pic>
      <xdr:nvPicPr>
        <xdr:cNvPr id="397" name="Imagem 39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47</xdr:row>
      <xdr:rowOff>0</xdr:rowOff>
    </xdr:from>
    <xdr:ext cx="3173" cy="336551"/>
    <xdr:pic>
      <xdr:nvPicPr>
        <xdr:cNvPr id="398" name="Imagem 39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47</xdr:row>
      <xdr:rowOff>0</xdr:rowOff>
    </xdr:from>
    <xdr:ext cx="0" cy="352426"/>
    <xdr:pic>
      <xdr:nvPicPr>
        <xdr:cNvPr id="399" name="Imagem 39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47</xdr:row>
      <xdr:rowOff>0</xdr:rowOff>
    </xdr:from>
    <xdr:ext cx="3173" cy="336551"/>
    <xdr:pic>
      <xdr:nvPicPr>
        <xdr:cNvPr id="400" name="Imagem 39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47</xdr:row>
      <xdr:rowOff>0</xdr:rowOff>
    </xdr:from>
    <xdr:ext cx="0" cy="352426"/>
    <xdr:pic>
      <xdr:nvPicPr>
        <xdr:cNvPr id="401" name="Imagem 40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47</xdr:row>
      <xdr:rowOff>0</xdr:rowOff>
    </xdr:from>
    <xdr:ext cx="3173" cy="336551"/>
    <xdr:pic>
      <xdr:nvPicPr>
        <xdr:cNvPr id="402" name="Imagem 40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47</xdr:row>
      <xdr:rowOff>0</xdr:rowOff>
    </xdr:from>
    <xdr:ext cx="0" cy="352426"/>
    <xdr:pic>
      <xdr:nvPicPr>
        <xdr:cNvPr id="403" name="Imagem 40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48</xdr:row>
      <xdr:rowOff>0</xdr:rowOff>
    </xdr:from>
    <xdr:ext cx="3173" cy="336551"/>
    <xdr:pic>
      <xdr:nvPicPr>
        <xdr:cNvPr id="404" name="Imagem 40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48</xdr:row>
      <xdr:rowOff>0</xdr:rowOff>
    </xdr:from>
    <xdr:ext cx="0" cy="352426"/>
    <xdr:pic>
      <xdr:nvPicPr>
        <xdr:cNvPr id="405" name="Imagem 40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48</xdr:row>
      <xdr:rowOff>0</xdr:rowOff>
    </xdr:from>
    <xdr:ext cx="3173" cy="336551"/>
    <xdr:pic>
      <xdr:nvPicPr>
        <xdr:cNvPr id="406" name="Imagem 40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48</xdr:row>
      <xdr:rowOff>0</xdr:rowOff>
    </xdr:from>
    <xdr:ext cx="0" cy="352426"/>
    <xdr:pic>
      <xdr:nvPicPr>
        <xdr:cNvPr id="407" name="Imagem 40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48</xdr:row>
      <xdr:rowOff>0</xdr:rowOff>
    </xdr:from>
    <xdr:ext cx="3173" cy="336551"/>
    <xdr:pic>
      <xdr:nvPicPr>
        <xdr:cNvPr id="408" name="Imagem 40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48</xdr:row>
      <xdr:rowOff>0</xdr:rowOff>
    </xdr:from>
    <xdr:ext cx="0" cy="352426"/>
    <xdr:pic>
      <xdr:nvPicPr>
        <xdr:cNvPr id="409" name="Imagem 40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49</xdr:row>
      <xdr:rowOff>0</xdr:rowOff>
    </xdr:from>
    <xdr:ext cx="3173" cy="336551"/>
    <xdr:pic>
      <xdr:nvPicPr>
        <xdr:cNvPr id="410" name="Imagem 40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49</xdr:row>
      <xdr:rowOff>0</xdr:rowOff>
    </xdr:from>
    <xdr:ext cx="0" cy="352426"/>
    <xdr:pic>
      <xdr:nvPicPr>
        <xdr:cNvPr id="411" name="Imagem 41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49</xdr:row>
      <xdr:rowOff>0</xdr:rowOff>
    </xdr:from>
    <xdr:ext cx="3173" cy="336551"/>
    <xdr:pic>
      <xdr:nvPicPr>
        <xdr:cNvPr id="412" name="Imagem 41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49</xdr:row>
      <xdr:rowOff>0</xdr:rowOff>
    </xdr:from>
    <xdr:ext cx="0" cy="352426"/>
    <xdr:pic>
      <xdr:nvPicPr>
        <xdr:cNvPr id="413" name="Imagem 41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49</xdr:row>
      <xdr:rowOff>0</xdr:rowOff>
    </xdr:from>
    <xdr:ext cx="3173" cy="336551"/>
    <xdr:pic>
      <xdr:nvPicPr>
        <xdr:cNvPr id="414" name="Imagem 41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49</xdr:row>
      <xdr:rowOff>0</xdr:rowOff>
    </xdr:from>
    <xdr:ext cx="0" cy="352426"/>
    <xdr:pic>
      <xdr:nvPicPr>
        <xdr:cNvPr id="415" name="Imagem 41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50</xdr:row>
      <xdr:rowOff>0</xdr:rowOff>
    </xdr:from>
    <xdr:ext cx="3173" cy="336551"/>
    <xdr:pic>
      <xdr:nvPicPr>
        <xdr:cNvPr id="416" name="Imagem 41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50</xdr:row>
      <xdr:rowOff>0</xdr:rowOff>
    </xdr:from>
    <xdr:ext cx="0" cy="352426"/>
    <xdr:pic>
      <xdr:nvPicPr>
        <xdr:cNvPr id="417" name="Imagem 41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50</xdr:row>
      <xdr:rowOff>0</xdr:rowOff>
    </xdr:from>
    <xdr:ext cx="3173" cy="336551"/>
    <xdr:pic>
      <xdr:nvPicPr>
        <xdr:cNvPr id="418" name="Imagem 41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50</xdr:row>
      <xdr:rowOff>0</xdr:rowOff>
    </xdr:from>
    <xdr:ext cx="0" cy="352426"/>
    <xdr:pic>
      <xdr:nvPicPr>
        <xdr:cNvPr id="419" name="Imagem 41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50</xdr:row>
      <xdr:rowOff>0</xdr:rowOff>
    </xdr:from>
    <xdr:ext cx="3173" cy="336551"/>
    <xdr:pic>
      <xdr:nvPicPr>
        <xdr:cNvPr id="420" name="Imagem 41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50</xdr:row>
      <xdr:rowOff>0</xdr:rowOff>
    </xdr:from>
    <xdr:ext cx="0" cy="352426"/>
    <xdr:pic>
      <xdr:nvPicPr>
        <xdr:cNvPr id="421" name="Imagem 42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51</xdr:row>
      <xdr:rowOff>0</xdr:rowOff>
    </xdr:from>
    <xdr:ext cx="3173" cy="336551"/>
    <xdr:pic>
      <xdr:nvPicPr>
        <xdr:cNvPr id="422" name="Imagem 42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51</xdr:row>
      <xdr:rowOff>0</xdr:rowOff>
    </xdr:from>
    <xdr:ext cx="0" cy="352426"/>
    <xdr:pic>
      <xdr:nvPicPr>
        <xdr:cNvPr id="423" name="Imagem 42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51</xdr:row>
      <xdr:rowOff>0</xdr:rowOff>
    </xdr:from>
    <xdr:ext cx="3173" cy="336551"/>
    <xdr:pic>
      <xdr:nvPicPr>
        <xdr:cNvPr id="424" name="Imagem 42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51</xdr:row>
      <xdr:rowOff>0</xdr:rowOff>
    </xdr:from>
    <xdr:ext cx="0" cy="352426"/>
    <xdr:pic>
      <xdr:nvPicPr>
        <xdr:cNvPr id="425" name="Imagem 42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51</xdr:row>
      <xdr:rowOff>0</xdr:rowOff>
    </xdr:from>
    <xdr:ext cx="3173" cy="336551"/>
    <xdr:pic>
      <xdr:nvPicPr>
        <xdr:cNvPr id="426" name="Imagem 42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51</xdr:row>
      <xdr:rowOff>0</xdr:rowOff>
    </xdr:from>
    <xdr:ext cx="0" cy="352426"/>
    <xdr:pic>
      <xdr:nvPicPr>
        <xdr:cNvPr id="427" name="Imagem 42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52</xdr:row>
      <xdr:rowOff>0</xdr:rowOff>
    </xdr:from>
    <xdr:ext cx="3173" cy="336551"/>
    <xdr:pic>
      <xdr:nvPicPr>
        <xdr:cNvPr id="428" name="Imagem 42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52</xdr:row>
      <xdr:rowOff>0</xdr:rowOff>
    </xdr:from>
    <xdr:ext cx="0" cy="352426"/>
    <xdr:pic>
      <xdr:nvPicPr>
        <xdr:cNvPr id="429" name="Imagem 42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52</xdr:row>
      <xdr:rowOff>0</xdr:rowOff>
    </xdr:from>
    <xdr:ext cx="3173" cy="336551"/>
    <xdr:pic>
      <xdr:nvPicPr>
        <xdr:cNvPr id="430" name="Imagem 42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52</xdr:row>
      <xdr:rowOff>0</xdr:rowOff>
    </xdr:from>
    <xdr:ext cx="0" cy="352426"/>
    <xdr:pic>
      <xdr:nvPicPr>
        <xdr:cNvPr id="431" name="Imagem 43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52</xdr:row>
      <xdr:rowOff>0</xdr:rowOff>
    </xdr:from>
    <xdr:ext cx="3173" cy="336551"/>
    <xdr:pic>
      <xdr:nvPicPr>
        <xdr:cNvPr id="432" name="Imagem 43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52</xdr:row>
      <xdr:rowOff>0</xdr:rowOff>
    </xdr:from>
    <xdr:ext cx="0" cy="352426"/>
    <xdr:pic>
      <xdr:nvPicPr>
        <xdr:cNvPr id="433" name="Imagem 43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53</xdr:row>
      <xdr:rowOff>0</xdr:rowOff>
    </xdr:from>
    <xdr:ext cx="3173" cy="336551"/>
    <xdr:pic>
      <xdr:nvPicPr>
        <xdr:cNvPr id="434" name="Imagem 43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53</xdr:row>
      <xdr:rowOff>0</xdr:rowOff>
    </xdr:from>
    <xdr:ext cx="0" cy="352426"/>
    <xdr:pic>
      <xdr:nvPicPr>
        <xdr:cNvPr id="435" name="Imagem 43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53</xdr:row>
      <xdr:rowOff>0</xdr:rowOff>
    </xdr:from>
    <xdr:ext cx="3173" cy="336551"/>
    <xdr:pic>
      <xdr:nvPicPr>
        <xdr:cNvPr id="436" name="Imagem 43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53</xdr:row>
      <xdr:rowOff>0</xdr:rowOff>
    </xdr:from>
    <xdr:ext cx="0" cy="352426"/>
    <xdr:pic>
      <xdr:nvPicPr>
        <xdr:cNvPr id="437" name="Imagem 43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53</xdr:row>
      <xdr:rowOff>0</xdr:rowOff>
    </xdr:from>
    <xdr:ext cx="3173" cy="336551"/>
    <xdr:pic>
      <xdr:nvPicPr>
        <xdr:cNvPr id="438" name="Imagem 43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53</xdr:row>
      <xdr:rowOff>0</xdr:rowOff>
    </xdr:from>
    <xdr:ext cx="0" cy="352426"/>
    <xdr:pic>
      <xdr:nvPicPr>
        <xdr:cNvPr id="439" name="Imagem 43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54</xdr:row>
      <xdr:rowOff>0</xdr:rowOff>
    </xdr:from>
    <xdr:ext cx="3173" cy="336551"/>
    <xdr:pic>
      <xdr:nvPicPr>
        <xdr:cNvPr id="440" name="Imagem 43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54</xdr:row>
      <xdr:rowOff>0</xdr:rowOff>
    </xdr:from>
    <xdr:ext cx="0" cy="352426"/>
    <xdr:pic>
      <xdr:nvPicPr>
        <xdr:cNvPr id="441" name="Imagem 44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54</xdr:row>
      <xdr:rowOff>0</xdr:rowOff>
    </xdr:from>
    <xdr:ext cx="3173" cy="336551"/>
    <xdr:pic>
      <xdr:nvPicPr>
        <xdr:cNvPr id="442" name="Imagem 44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54</xdr:row>
      <xdr:rowOff>0</xdr:rowOff>
    </xdr:from>
    <xdr:ext cx="0" cy="352426"/>
    <xdr:pic>
      <xdr:nvPicPr>
        <xdr:cNvPr id="443" name="Imagem 44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54</xdr:row>
      <xdr:rowOff>0</xdr:rowOff>
    </xdr:from>
    <xdr:ext cx="3173" cy="336551"/>
    <xdr:pic>
      <xdr:nvPicPr>
        <xdr:cNvPr id="444" name="Imagem 44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54</xdr:row>
      <xdr:rowOff>0</xdr:rowOff>
    </xdr:from>
    <xdr:ext cx="0" cy="352426"/>
    <xdr:pic>
      <xdr:nvPicPr>
        <xdr:cNvPr id="445" name="Imagem 44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55</xdr:row>
      <xdr:rowOff>0</xdr:rowOff>
    </xdr:from>
    <xdr:ext cx="3173" cy="336551"/>
    <xdr:pic>
      <xdr:nvPicPr>
        <xdr:cNvPr id="446" name="Imagem 44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55</xdr:row>
      <xdr:rowOff>0</xdr:rowOff>
    </xdr:from>
    <xdr:ext cx="0" cy="352426"/>
    <xdr:pic>
      <xdr:nvPicPr>
        <xdr:cNvPr id="447" name="Imagem 44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55</xdr:row>
      <xdr:rowOff>0</xdr:rowOff>
    </xdr:from>
    <xdr:ext cx="3173" cy="336551"/>
    <xdr:pic>
      <xdr:nvPicPr>
        <xdr:cNvPr id="448" name="Imagem 44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55</xdr:row>
      <xdr:rowOff>0</xdr:rowOff>
    </xdr:from>
    <xdr:ext cx="0" cy="352426"/>
    <xdr:pic>
      <xdr:nvPicPr>
        <xdr:cNvPr id="449" name="Imagem 44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55</xdr:row>
      <xdr:rowOff>0</xdr:rowOff>
    </xdr:from>
    <xdr:ext cx="3173" cy="336551"/>
    <xdr:pic>
      <xdr:nvPicPr>
        <xdr:cNvPr id="450" name="Imagem 44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55</xdr:row>
      <xdr:rowOff>0</xdr:rowOff>
    </xdr:from>
    <xdr:ext cx="0" cy="352426"/>
    <xdr:pic>
      <xdr:nvPicPr>
        <xdr:cNvPr id="451" name="Imagem 45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56</xdr:row>
      <xdr:rowOff>0</xdr:rowOff>
    </xdr:from>
    <xdr:ext cx="3173" cy="336551"/>
    <xdr:pic>
      <xdr:nvPicPr>
        <xdr:cNvPr id="452" name="Imagem 45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56</xdr:row>
      <xdr:rowOff>0</xdr:rowOff>
    </xdr:from>
    <xdr:ext cx="0" cy="352426"/>
    <xdr:pic>
      <xdr:nvPicPr>
        <xdr:cNvPr id="453" name="Imagem 45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56</xdr:row>
      <xdr:rowOff>0</xdr:rowOff>
    </xdr:from>
    <xdr:ext cx="3173" cy="336551"/>
    <xdr:pic>
      <xdr:nvPicPr>
        <xdr:cNvPr id="454" name="Imagem 45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56</xdr:row>
      <xdr:rowOff>0</xdr:rowOff>
    </xdr:from>
    <xdr:ext cx="0" cy="352426"/>
    <xdr:pic>
      <xdr:nvPicPr>
        <xdr:cNvPr id="455" name="Imagem 45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56</xdr:row>
      <xdr:rowOff>0</xdr:rowOff>
    </xdr:from>
    <xdr:ext cx="3173" cy="336551"/>
    <xdr:pic>
      <xdr:nvPicPr>
        <xdr:cNvPr id="456" name="Imagem 45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56</xdr:row>
      <xdr:rowOff>0</xdr:rowOff>
    </xdr:from>
    <xdr:ext cx="0" cy="352426"/>
    <xdr:pic>
      <xdr:nvPicPr>
        <xdr:cNvPr id="457" name="Imagem 45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57</xdr:row>
      <xdr:rowOff>0</xdr:rowOff>
    </xdr:from>
    <xdr:ext cx="3173" cy="336551"/>
    <xdr:pic>
      <xdr:nvPicPr>
        <xdr:cNvPr id="458" name="Imagem 45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57</xdr:row>
      <xdr:rowOff>0</xdr:rowOff>
    </xdr:from>
    <xdr:ext cx="0" cy="352426"/>
    <xdr:pic>
      <xdr:nvPicPr>
        <xdr:cNvPr id="459" name="Imagem 45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57</xdr:row>
      <xdr:rowOff>0</xdr:rowOff>
    </xdr:from>
    <xdr:ext cx="3173" cy="336551"/>
    <xdr:pic>
      <xdr:nvPicPr>
        <xdr:cNvPr id="460" name="Imagem 45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57</xdr:row>
      <xdr:rowOff>0</xdr:rowOff>
    </xdr:from>
    <xdr:ext cx="0" cy="352426"/>
    <xdr:pic>
      <xdr:nvPicPr>
        <xdr:cNvPr id="461" name="Imagem 46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57</xdr:row>
      <xdr:rowOff>0</xdr:rowOff>
    </xdr:from>
    <xdr:ext cx="3173" cy="336551"/>
    <xdr:pic>
      <xdr:nvPicPr>
        <xdr:cNvPr id="462" name="Imagem 46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57</xdr:row>
      <xdr:rowOff>0</xdr:rowOff>
    </xdr:from>
    <xdr:ext cx="0" cy="352426"/>
    <xdr:pic>
      <xdr:nvPicPr>
        <xdr:cNvPr id="463" name="Imagem 46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58</xdr:row>
      <xdr:rowOff>0</xdr:rowOff>
    </xdr:from>
    <xdr:ext cx="3173" cy="336551"/>
    <xdr:pic>
      <xdr:nvPicPr>
        <xdr:cNvPr id="464" name="Imagem 46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58</xdr:row>
      <xdr:rowOff>0</xdr:rowOff>
    </xdr:from>
    <xdr:ext cx="0" cy="352426"/>
    <xdr:pic>
      <xdr:nvPicPr>
        <xdr:cNvPr id="465" name="Imagem 46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58</xdr:row>
      <xdr:rowOff>0</xdr:rowOff>
    </xdr:from>
    <xdr:ext cx="3173" cy="336551"/>
    <xdr:pic>
      <xdr:nvPicPr>
        <xdr:cNvPr id="466" name="Imagem 46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58</xdr:row>
      <xdr:rowOff>0</xdr:rowOff>
    </xdr:from>
    <xdr:ext cx="0" cy="352426"/>
    <xdr:pic>
      <xdr:nvPicPr>
        <xdr:cNvPr id="467" name="Imagem 46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58</xdr:row>
      <xdr:rowOff>0</xdr:rowOff>
    </xdr:from>
    <xdr:ext cx="3173" cy="336551"/>
    <xdr:pic>
      <xdr:nvPicPr>
        <xdr:cNvPr id="468" name="Imagem 46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58</xdr:row>
      <xdr:rowOff>0</xdr:rowOff>
    </xdr:from>
    <xdr:ext cx="0" cy="352426"/>
    <xdr:pic>
      <xdr:nvPicPr>
        <xdr:cNvPr id="469" name="Imagem 46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59</xdr:row>
      <xdr:rowOff>0</xdr:rowOff>
    </xdr:from>
    <xdr:ext cx="3173" cy="336551"/>
    <xdr:pic>
      <xdr:nvPicPr>
        <xdr:cNvPr id="470" name="Imagem 46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59</xdr:row>
      <xdr:rowOff>0</xdr:rowOff>
    </xdr:from>
    <xdr:ext cx="0" cy="352426"/>
    <xdr:pic>
      <xdr:nvPicPr>
        <xdr:cNvPr id="471" name="Imagem 47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59</xdr:row>
      <xdr:rowOff>0</xdr:rowOff>
    </xdr:from>
    <xdr:ext cx="3173" cy="336551"/>
    <xdr:pic>
      <xdr:nvPicPr>
        <xdr:cNvPr id="472" name="Imagem 47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59</xdr:row>
      <xdr:rowOff>0</xdr:rowOff>
    </xdr:from>
    <xdr:ext cx="0" cy="352426"/>
    <xdr:pic>
      <xdr:nvPicPr>
        <xdr:cNvPr id="473" name="Imagem 47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59</xdr:row>
      <xdr:rowOff>0</xdr:rowOff>
    </xdr:from>
    <xdr:ext cx="3173" cy="336551"/>
    <xdr:pic>
      <xdr:nvPicPr>
        <xdr:cNvPr id="474" name="Imagem 47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59</xdr:row>
      <xdr:rowOff>0</xdr:rowOff>
    </xdr:from>
    <xdr:ext cx="0" cy="352426"/>
    <xdr:pic>
      <xdr:nvPicPr>
        <xdr:cNvPr id="475" name="Imagem 47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60</xdr:row>
      <xdr:rowOff>0</xdr:rowOff>
    </xdr:from>
    <xdr:ext cx="3173" cy="336551"/>
    <xdr:pic>
      <xdr:nvPicPr>
        <xdr:cNvPr id="476" name="Imagem 47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60</xdr:row>
      <xdr:rowOff>0</xdr:rowOff>
    </xdr:from>
    <xdr:ext cx="0" cy="352426"/>
    <xdr:pic>
      <xdr:nvPicPr>
        <xdr:cNvPr id="477" name="Imagem 47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60</xdr:row>
      <xdr:rowOff>0</xdr:rowOff>
    </xdr:from>
    <xdr:ext cx="3173" cy="336551"/>
    <xdr:pic>
      <xdr:nvPicPr>
        <xdr:cNvPr id="478" name="Imagem 47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60</xdr:row>
      <xdr:rowOff>0</xdr:rowOff>
    </xdr:from>
    <xdr:ext cx="0" cy="352426"/>
    <xdr:pic>
      <xdr:nvPicPr>
        <xdr:cNvPr id="479" name="Imagem 47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60</xdr:row>
      <xdr:rowOff>0</xdr:rowOff>
    </xdr:from>
    <xdr:ext cx="3173" cy="336551"/>
    <xdr:pic>
      <xdr:nvPicPr>
        <xdr:cNvPr id="480" name="Imagem 47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60</xdr:row>
      <xdr:rowOff>0</xdr:rowOff>
    </xdr:from>
    <xdr:ext cx="0" cy="352426"/>
    <xdr:pic>
      <xdr:nvPicPr>
        <xdr:cNvPr id="481" name="Imagem 48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61</xdr:row>
      <xdr:rowOff>0</xdr:rowOff>
    </xdr:from>
    <xdr:ext cx="3173" cy="336551"/>
    <xdr:pic>
      <xdr:nvPicPr>
        <xdr:cNvPr id="482" name="Imagem 48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61</xdr:row>
      <xdr:rowOff>0</xdr:rowOff>
    </xdr:from>
    <xdr:ext cx="0" cy="352426"/>
    <xdr:pic>
      <xdr:nvPicPr>
        <xdr:cNvPr id="483" name="Imagem 48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61</xdr:row>
      <xdr:rowOff>0</xdr:rowOff>
    </xdr:from>
    <xdr:ext cx="3173" cy="336551"/>
    <xdr:pic>
      <xdr:nvPicPr>
        <xdr:cNvPr id="484" name="Imagem 48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61</xdr:row>
      <xdr:rowOff>0</xdr:rowOff>
    </xdr:from>
    <xdr:ext cx="0" cy="352426"/>
    <xdr:pic>
      <xdr:nvPicPr>
        <xdr:cNvPr id="485" name="Imagem 48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61</xdr:row>
      <xdr:rowOff>0</xdr:rowOff>
    </xdr:from>
    <xdr:ext cx="3173" cy="336551"/>
    <xdr:pic>
      <xdr:nvPicPr>
        <xdr:cNvPr id="486" name="Imagem 48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61</xdr:row>
      <xdr:rowOff>0</xdr:rowOff>
    </xdr:from>
    <xdr:ext cx="0" cy="352426"/>
    <xdr:pic>
      <xdr:nvPicPr>
        <xdr:cNvPr id="487" name="Imagem 48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62</xdr:row>
      <xdr:rowOff>0</xdr:rowOff>
    </xdr:from>
    <xdr:ext cx="3173" cy="336551"/>
    <xdr:pic>
      <xdr:nvPicPr>
        <xdr:cNvPr id="488" name="Imagem 48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62</xdr:row>
      <xdr:rowOff>0</xdr:rowOff>
    </xdr:from>
    <xdr:ext cx="0" cy="352426"/>
    <xdr:pic>
      <xdr:nvPicPr>
        <xdr:cNvPr id="489" name="Imagem 48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62</xdr:row>
      <xdr:rowOff>0</xdr:rowOff>
    </xdr:from>
    <xdr:ext cx="3173" cy="336551"/>
    <xdr:pic>
      <xdr:nvPicPr>
        <xdr:cNvPr id="490" name="Imagem 48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62</xdr:row>
      <xdr:rowOff>0</xdr:rowOff>
    </xdr:from>
    <xdr:ext cx="0" cy="352426"/>
    <xdr:pic>
      <xdr:nvPicPr>
        <xdr:cNvPr id="491" name="Imagem 49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62</xdr:row>
      <xdr:rowOff>0</xdr:rowOff>
    </xdr:from>
    <xdr:ext cx="3173" cy="336551"/>
    <xdr:pic>
      <xdr:nvPicPr>
        <xdr:cNvPr id="492" name="Imagem 49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62</xdr:row>
      <xdr:rowOff>0</xdr:rowOff>
    </xdr:from>
    <xdr:ext cx="0" cy="352426"/>
    <xdr:pic>
      <xdr:nvPicPr>
        <xdr:cNvPr id="493" name="Imagem 49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63</xdr:row>
      <xdr:rowOff>0</xdr:rowOff>
    </xdr:from>
    <xdr:ext cx="3173" cy="336551"/>
    <xdr:pic>
      <xdr:nvPicPr>
        <xdr:cNvPr id="494" name="Imagem 49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63</xdr:row>
      <xdr:rowOff>0</xdr:rowOff>
    </xdr:from>
    <xdr:ext cx="0" cy="352426"/>
    <xdr:pic>
      <xdr:nvPicPr>
        <xdr:cNvPr id="495" name="Imagem 49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63</xdr:row>
      <xdr:rowOff>0</xdr:rowOff>
    </xdr:from>
    <xdr:ext cx="3173" cy="336551"/>
    <xdr:pic>
      <xdr:nvPicPr>
        <xdr:cNvPr id="496" name="Imagem 49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63</xdr:row>
      <xdr:rowOff>0</xdr:rowOff>
    </xdr:from>
    <xdr:ext cx="0" cy="352426"/>
    <xdr:pic>
      <xdr:nvPicPr>
        <xdr:cNvPr id="497" name="Imagem 49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63</xdr:row>
      <xdr:rowOff>0</xdr:rowOff>
    </xdr:from>
    <xdr:ext cx="3173" cy="336551"/>
    <xdr:pic>
      <xdr:nvPicPr>
        <xdr:cNvPr id="498" name="Imagem 49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63</xdr:row>
      <xdr:rowOff>0</xdr:rowOff>
    </xdr:from>
    <xdr:ext cx="0" cy="352426"/>
    <xdr:pic>
      <xdr:nvPicPr>
        <xdr:cNvPr id="499" name="Imagem 49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64</xdr:row>
      <xdr:rowOff>0</xdr:rowOff>
    </xdr:from>
    <xdr:ext cx="3173" cy="336551"/>
    <xdr:pic>
      <xdr:nvPicPr>
        <xdr:cNvPr id="500" name="Imagem 49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64</xdr:row>
      <xdr:rowOff>0</xdr:rowOff>
    </xdr:from>
    <xdr:ext cx="0" cy="352426"/>
    <xdr:pic>
      <xdr:nvPicPr>
        <xdr:cNvPr id="501" name="Imagem 50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64</xdr:row>
      <xdr:rowOff>0</xdr:rowOff>
    </xdr:from>
    <xdr:ext cx="3173" cy="336551"/>
    <xdr:pic>
      <xdr:nvPicPr>
        <xdr:cNvPr id="502" name="Imagem 50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64</xdr:row>
      <xdr:rowOff>0</xdr:rowOff>
    </xdr:from>
    <xdr:ext cx="0" cy="352426"/>
    <xdr:pic>
      <xdr:nvPicPr>
        <xdr:cNvPr id="503" name="Imagem 50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64</xdr:row>
      <xdr:rowOff>0</xdr:rowOff>
    </xdr:from>
    <xdr:ext cx="3173" cy="336551"/>
    <xdr:pic>
      <xdr:nvPicPr>
        <xdr:cNvPr id="504" name="Imagem 50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64</xdr:row>
      <xdr:rowOff>0</xdr:rowOff>
    </xdr:from>
    <xdr:ext cx="0" cy="352426"/>
    <xdr:pic>
      <xdr:nvPicPr>
        <xdr:cNvPr id="505" name="Imagem 50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65</xdr:row>
      <xdr:rowOff>0</xdr:rowOff>
    </xdr:from>
    <xdr:ext cx="3173" cy="336551"/>
    <xdr:pic>
      <xdr:nvPicPr>
        <xdr:cNvPr id="506" name="Imagem 50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65</xdr:row>
      <xdr:rowOff>0</xdr:rowOff>
    </xdr:from>
    <xdr:ext cx="0" cy="352426"/>
    <xdr:pic>
      <xdr:nvPicPr>
        <xdr:cNvPr id="507" name="Imagem 50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65</xdr:row>
      <xdr:rowOff>0</xdr:rowOff>
    </xdr:from>
    <xdr:ext cx="3173" cy="336551"/>
    <xdr:pic>
      <xdr:nvPicPr>
        <xdr:cNvPr id="508" name="Imagem 50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65</xdr:row>
      <xdr:rowOff>0</xdr:rowOff>
    </xdr:from>
    <xdr:ext cx="0" cy="352426"/>
    <xdr:pic>
      <xdr:nvPicPr>
        <xdr:cNvPr id="509" name="Imagem 50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65</xdr:row>
      <xdr:rowOff>0</xdr:rowOff>
    </xdr:from>
    <xdr:ext cx="3173" cy="336551"/>
    <xdr:pic>
      <xdr:nvPicPr>
        <xdr:cNvPr id="510" name="Imagem 50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65</xdr:row>
      <xdr:rowOff>0</xdr:rowOff>
    </xdr:from>
    <xdr:ext cx="0" cy="352426"/>
    <xdr:pic>
      <xdr:nvPicPr>
        <xdr:cNvPr id="511" name="Imagem 51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66</xdr:row>
      <xdr:rowOff>0</xdr:rowOff>
    </xdr:from>
    <xdr:ext cx="3173" cy="336551"/>
    <xdr:pic>
      <xdr:nvPicPr>
        <xdr:cNvPr id="512" name="Imagem 51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66</xdr:row>
      <xdr:rowOff>0</xdr:rowOff>
    </xdr:from>
    <xdr:ext cx="0" cy="352426"/>
    <xdr:pic>
      <xdr:nvPicPr>
        <xdr:cNvPr id="513" name="Imagem 51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66</xdr:row>
      <xdr:rowOff>0</xdr:rowOff>
    </xdr:from>
    <xdr:ext cx="3173" cy="336551"/>
    <xdr:pic>
      <xdr:nvPicPr>
        <xdr:cNvPr id="514" name="Imagem 51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66</xdr:row>
      <xdr:rowOff>0</xdr:rowOff>
    </xdr:from>
    <xdr:ext cx="0" cy="352426"/>
    <xdr:pic>
      <xdr:nvPicPr>
        <xdr:cNvPr id="515" name="Imagem 51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66</xdr:row>
      <xdr:rowOff>0</xdr:rowOff>
    </xdr:from>
    <xdr:ext cx="3173" cy="336551"/>
    <xdr:pic>
      <xdr:nvPicPr>
        <xdr:cNvPr id="516" name="Imagem 51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66</xdr:row>
      <xdr:rowOff>0</xdr:rowOff>
    </xdr:from>
    <xdr:ext cx="0" cy="352426"/>
    <xdr:pic>
      <xdr:nvPicPr>
        <xdr:cNvPr id="517" name="Imagem 51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67</xdr:row>
      <xdr:rowOff>0</xdr:rowOff>
    </xdr:from>
    <xdr:ext cx="3173" cy="336551"/>
    <xdr:pic>
      <xdr:nvPicPr>
        <xdr:cNvPr id="518" name="Imagem 51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67</xdr:row>
      <xdr:rowOff>0</xdr:rowOff>
    </xdr:from>
    <xdr:ext cx="0" cy="352426"/>
    <xdr:pic>
      <xdr:nvPicPr>
        <xdr:cNvPr id="519" name="Imagem 51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67</xdr:row>
      <xdr:rowOff>0</xdr:rowOff>
    </xdr:from>
    <xdr:ext cx="3173" cy="336551"/>
    <xdr:pic>
      <xdr:nvPicPr>
        <xdr:cNvPr id="520" name="Imagem 51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67</xdr:row>
      <xdr:rowOff>0</xdr:rowOff>
    </xdr:from>
    <xdr:ext cx="0" cy="352426"/>
    <xdr:pic>
      <xdr:nvPicPr>
        <xdr:cNvPr id="521" name="Imagem 52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67</xdr:row>
      <xdr:rowOff>0</xdr:rowOff>
    </xdr:from>
    <xdr:ext cx="3173" cy="336551"/>
    <xdr:pic>
      <xdr:nvPicPr>
        <xdr:cNvPr id="522" name="Imagem 52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67</xdr:row>
      <xdr:rowOff>0</xdr:rowOff>
    </xdr:from>
    <xdr:ext cx="0" cy="352426"/>
    <xdr:pic>
      <xdr:nvPicPr>
        <xdr:cNvPr id="523" name="Imagem 52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68</xdr:row>
      <xdr:rowOff>0</xdr:rowOff>
    </xdr:from>
    <xdr:ext cx="3173" cy="336551"/>
    <xdr:pic>
      <xdr:nvPicPr>
        <xdr:cNvPr id="524" name="Imagem 52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68</xdr:row>
      <xdr:rowOff>0</xdr:rowOff>
    </xdr:from>
    <xdr:ext cx="0" cy="352426"/>
    <xdr:pic>
      <xdr:nvPicPr>
        <xdr:cNvPr id="525" name="Imagem 52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68</xdr:row>
      <xdr:rowOff>0</xdr:rowOff>
    </xdr:from>
    <xdr:ext cx="3173" cy="336551"/>
    <xdr:pic>
      <xdr:nvPicPr>
        <xdr:cNvPr id="526" name="Imagem 52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68</xdr:row>
      <xdr:rowOff>0</xdr:rowOff>
    </xdr:from>
    <xdr:ext cx="0" cy="352426"/>
    <xdr:pic>
      <xdr:nvPicPr>
        <xdr:cNvPr id="527" name="Imagem 52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68</xdr:row>
      <xdr:rowOff>0</xdr:rowOff>
    </xdr:from>
    <xdr:ext cx="3173" cy="336551"/>
    <xdr:pic>
      <xdr:nvPicPr>
        <xdr:cNvPr id="528" name="Imagem 52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68</xdr:row>
      <xdr:rowOff>0</xdr:rowOff>
    </xdr:from>
    <xdr:ext cx="0" cy="352426"/>
    <xdr:pic>
      <xdr:nvPicPr>
        <xdr:cNvPr id="529" name="Imagem 52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69</xdr:row>
      <xdr:rowOff>0</xdr:rowOff>
    </xdr:from>
    <xdr:ext cx="3173" cy="336551"/>
    <xdr:pic>
      <xdr:nvPicPr>
        <xdr:cNvPr id="530" name="Imagem 52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69</xdr:row>
      <xdr:rowOff>0</xdr:rowOff>
    </xdr:from>
    <xdr:ext cx="0" cy="352426"/>
    <xdr:pic>
      <xdr:nvPicPr>
        <xdr:cNvPr id="531" name="Imagem 53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69</xdr:row>
      <xdr:rowOff>0</xdr:rowOff>
    </xdr:from>
    <xdr:ext cx="3173" cy="336551"/>
    <xdr:pic>
      <xdr:nvPicPr>
        <xdr:cNvPr id="532" name="Imagem 53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69</xdr:row>
      <xdr:rowOff>0</xdr:rowOff>
    </xdr:from>
    <xdr:ext cx="0" cy="352426"/>
    <xdr:pic>
      <xdr:nvPicPr>
        <xdr:cNvPr id="533" name="Imagem 53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69</xdr:row>
      <xdr:rowOff>0</xdr:rowOff>
    </xdr:from>
    <xdr:ext cx="3173" cy="336551"/>
    <xdr:pic>
      <xdr:nvPicPr>
        <xdr:cNvPr id="534" name="Imagem 53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69</xdr:row>
      <xdr:rowOff>0</xdr:rowOff>
    </xdr:from>
    <xdr:ext cx="0" cy="352426"/>
    <xdr:pic>
      <xdr:nvPicPr>
        <xdr:cNvPr id="535" name="Imagem 53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70</xdr:row>
      <xdr:rowOff>0</xdr:rowOff>
    </xdr:from>
    <xdr:ext cx="3173" cy="336551"/>
    <xdr:pic>
      <xdr:nvPicPr>
        <xdr:cNvPr id="536" name="Imagem 53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70</xdr:row>
      <xdr:rowOff>0</xdr:rowOff>
    </xdr:from>
    <xdr:ext cx="0" cy="352426"/>
    <xdr:pic>
      <xdr:nvPicPr>
        <xdr:cNvPr id="537" name="Imagem 53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70</xdr:row>
      <xdr:rowOff>0</xdr:rowOff>
    </xdr:from>
    <xdr:ext cx="3173" cy="336551"/>
    <xdr:pic>
      <xdr:nvPicPr>
        <xdr:cNvPr id="538" name="Imagem 53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70</xdr:row>
      <xdr:rowOff>0</xdr:rowOff>
    </xdr:from>
    <xdr:ext cx="0" cy="352426"/>
    <xdr:pic>
      <xdr:nvPicPr>
        <xdr:cNvPr id="539" name="Imagem 53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70</xdr:row>
      <xdr:rowOff>0</xdr:rowOff>
    </xdr:from>
    <xdr:ext cx="3173" cy="336551"/>
    <xdr:pic>
      <xdr:nvPicPr>
        <xdr:cNvPr id="540" name="Imagem 53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70</xdr:row>
      <xdr:rowOff>0</xdr:rowOff>
    </xdr:from>
    <xdr:ext cx="0" cy="352426"/>
    <xdr:pic>
      <xdr:nvPicPr>
        <xdr:cNvPr id="541" name="Imagem 54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71</xdr:row>
      <xdr:rowOff>0</xdr:rowOff>
    </xdr:from>
    <xdr:ext cx="3173" cy="336551"/>
    <xdr:pic>
      <xdr:nvPicPr>
        <xdr:cNvPr id="542" name="Imagem 54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71</xdr:row>
      <xdr:rowOff>0</xdr:rowOff>
    </xdr:from>
    <xdr:ext cx="0" cy="352426"/>
    <xdr:pic>
      <xdr:nvPicPr>
        <xdr:cNvPr id="543" name="Imagem 54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71</xdr:row>
      <xdr:rowOff>0</xdr:rowOff>
    </xdr:from>
    <xdr:ext cx="3173" cy="336551"/>
    <xdr:pic>
      <xdr:nvPicPr>
        <xdr:cNvPr id="544" name="Imagem 54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71</xdr:row>
      <xdr:rowOff>0</xdr:rowOff>
    </xdr:from>
    <xdr:ext cx="0" cy="352426"/>
    <xdr:pic>
      <xdr:nvPicPr>
        <xdr:cNvPr id="545" name="Imagem 54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71</xdr:row>
      <xdr:rowOff>0</xdr:rowOff>
    </xdr:from>
    <xdr:ext cx="3173" cy="336551"/>
    <xdr:pic>
      <xdr:nvPicPr>
        <xdr:cNvPr id="546" name="Imagem 54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71</xdr:row>
      <xdr:rowOff>0</xdr:rowOff>
    </xdr:from>
    <xdr:ext cx="0" cy="352426"/>
    <xdr:pic>
      <xdr:nvPicPr>
        <xdr:cNvPr id="547" name="Imagem 54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72</xdr:row>
      <xdr:rowOff>0</xdr:rowOff>
    </xdr:from>
    <xdr:ext cx="3173" cy="336551"/>
    <xdr:pic>
      <xdr:nvPicPr>
        <xdr:cNvPr id="548" name="Imagem 54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72</xdr:row>
      <xdr:rowOff>0</xdr:rowOff>
    </xdr:from>
    <xdr:ext cx="0" cy="352426"/>
    <xdr:pic>
      <xdr:nvPicPr>
        <xdr:cNvPr id="549" name="Imagem 54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72</xdr:row>
      <xdr:rowOff>0</xdr:rowOff>
    </xdr:from>
    <xdr:ext cx="3173" cy="336551"/>
    <xdr:pic>
      <xdr:nvPicPr>
        <xdr:cNvPr id="550" name="Imagem 54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72</xdr:row>
      <xdr:rowOff>0</xdr:rowOff>
    </xdr:from>
    <xdr:ext cx="0" cy="352426"/>
    <xdr:pic>
      <xdr:nvPicPr>
        <xdr:cNvPr id="551" name="Imagem 55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72</xdr:row>
      <xdr:rowOff>0</xdr:rowOff>
    </xdr:from>
    <xdr:ext cx="3173" cy="336551"/>
    <xdr:pic>
      <xdr:nvPicPr>
        <xdr:cNvPr id="552" name="Imagem 55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72</xdr:row>
      <xdr:rowOff>0</xdr:rowOff>
    </xdr:from>
    <xdr:ext cx="0" cy="352426"/>
    <xdr:pic>
      <xdr:nvPicPr>
        <xdr:cNvPr id="553" name="Imagem 55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73</xdr:row>
      <xdr:rowOff>0</xdr:rowOff>
    </xdr:from>
    <xdr:ext cx="3173" cy="336551"/>
    <xdr:pic>
      <xdr:nvPicPr>
        <xdr:cNvPr id="554" name="Imagem 55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73</xdr:row>
      <xdr:rowOff>0</xdr:rowOff>
    </xdr:from>
    <xdr:ext cx="0" cy="352426"/>
    <xdr:pic>
      <xdr:nvPicPr>
        <xdr:cNvPr id="555" name="Imagem 55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73</xdr:row>
      <xdr:rowOff>0</xdr:rowOff>
    </xdr:from>
    <xdr:ext cx="3173" cy="336551"/>
    <xdr:pic>
      <xdr:nvPicPr>
        <xdr:cNvPr id="556" name="Imagem 55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73</xdr:row>
      <xdr:rowOff>0</xdr:rowOff>
    </xdr:from>
    <xdr:ext cx="0" cy="352426"/>
    <xdr:pic>
      <xdr:nvPicPr>
        <xdr:cNvPr id="557" name="Imagem 55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73</xdr:row>
      <xdr:rowOff>0</xdr:rowOff>
    </xdr:from>
    <xdr:ext cx="3173" cy="336551"/>
    <xdr:pic>
      <xdr:nvPicPr>
        <xdr:cNvPr id="558" name="Imagem 55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73</xdr:row>
      <xdr:rowOff>0</xdr:rowOff>
    </xdr:from>
    <xdr:ext cx="0" cy="352426"/>
    <xdr:pic>
      <xdr:nvPicPr>
        <xdr:cNvPr id="559" name="Imagem 55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74</xdr:row>
      <xdr:rowOff>0</xdr:rowOff>
    </xdr:from>
    <xdr:ext cx="3173" cy="336551"/>
    <xdr:pic>
      <xdr:nvPicPr>
        <xdr:cNvPr id="560" name="Imagem 55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74</xdr:row>
      <xdr:rowOff>0</xdr:rowOff>
    </xdr:from>
    <xdr:ext cx="0" cy="352426"/>
    <xdr:pic>
      <xdr:nvPicPr>
        <xdr:cNvPr id="561" name="Imagem 56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74</xdr:row>
      <xdr:rowOff>0</xdr:rowOff>
    </xdr:from>
    <xdr:ext cx="3173" cy="336551"/>
    <xdr:pic>
      <xdr:nvPicPr>
        <xdr:cNvPr id="562" name="Imagem 56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74</xdr:row>
      <xdr:rowOff>0</xdr:rowOff>
    </xdr:from>
    <xdr:ext cx="0" cy="352426"/>
    <xdr:pic>
      <xdr:nvPicPr>
        <xdr:cNvPr id="563" name="Imagem 56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74</xdr:row>
      <xdr:rowOff>0</xdr:rowOff>
    </xdr:from>
    <xdr:ext cx="3173" cy="336551"/>
    <xdr:pic>
      <xdr:nvPicPr>
        <xdr:cNvPr id="564" name="Imagem 56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74</xdr:row>
      <xdr:rowOff>0</xdr:rowOff>
    </xdr:from>
    <xdr:ext cx="0" cy="352426"/>
    <xdr:pic>
      <xdr:nvPicPr>
        <xdr:cNvPr id="565" name="Imagem 56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75</xdr:row>
      <xdr:rowOff>0</xdr:rowOff>
    </xdr:from>
    <xdr:ext cx="3173" cy="336551"/>
    <xdr:pic>
      <xdr:nvPicPr>
        <xdr:cNvPr id="566" name="Imagem 56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75</xdr:row>
      <xdr:rowOff>0</xdr:rowOff>
    </xdr:from>
    <xdr:ext cx="0" cy="352426"/>
    <xdr:pic>
      <xdr:nvPicPr>
        <xdr:cNvPr id="567" name="Imagem 56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75</xdr:row>
      <xdr:rowOff>0</xdr:rowOff>
    </xdr:from>
    <xdr:ext cx="3173" cy="336551"/>
    <xdr:pic>
      <xdr:nvPicPr>
        <xdr:cNvPr id="568" name="Imagem 56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75</xdr:row>
      <xdr:rowOff>0</xdr:rowOff>
    </xdr:from>
    <xdr:ext cx="0" cy="352426"/>
    <xdr:pic>
      <xdr:nvPicPr>
        <xdr:cNvPr id="569" name="Imagem 56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34</xdr:row>
      <xdr:rowOff>0</xdr:rowOff>
    </xdr:from>
    <xdr:ext cx="3173" cy="336551"/>
    <xdr:pic>
      <xdr:nvPicPr>
        <xdr:cNvPr id="570" name="Imagem 56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34</xdr:row>
      <xdr:rowOff>0</xdr:rowOff>
    </xdr:from>
    <xdr:ext cx="0" cy="352426"/>
    <xdr:pic>
      <xdr:nvPicPr>
        <xdr:cNvPr id="571" name="Imagem 57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35</xdr:row>
      <xdr:rowOff>0</xdr:rowOff>
    </xdr:from>
    <xdr:ext cx="3173" cy="336551"/>
    <xdr:pic>
      <xdr:nvPicPr>
        <xdr:cNvPr id="572" name="Imagem 57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35</xdr:row>
      <xdr:rowOff>0</xdr:rowOff>
    </xdr:from>
    <xdr:ext cx="0" cy="352426"/>
    <xdr:pic>
      <xdr:nvPicPr>
        <xdr:cNvPr id="573" name="Imagem 57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35</xdr:row>
      <xdr:rowOff>0</xdr:rowOff>
    </xdr:from>
    <xdr:ext cx="3173" cy="336551"/>
    <xdr:pic>
      <xdr:nvPicPr>
        <xdr:cNvPr id="574" name="Imagem 57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35</xdr:row>
      <xdr:rowOff>0</xdr:rowOff>
    </xdr:from>
    <xdr:ext cx="0" cy="352426"/>
    <xdr:pic>
      <xdr:nvPicPr>
        <xdr:cNvPr id="575" name="Imagem 57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35</xdr:row>
      <xdr:rowOff>0</xdr:rowOff>
    </xdr:from>
    <xdr:ext cx="3173" cy="336551"/>
    <xdr:pic>
      <xdr:nvPicPr>
        <xdr:cNvPr id="576" name="Imagem 57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35</xdr:row>
      <xdr:rowOff>0</xdr:rowOff>
    </xdr:from>
    <xdr:ext cx="0" cy="352426"/>
    <xdr:pic>
      <xdr:nvPicPr>
        <xdr:cNvPr id="577" name="Imagem 57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36</xdr:row>
      <xdr:rowOff>0</xdr:rowOff>
    </xdr:from>
    <xdr:ext cx="3173" cy="336551"/>
    <xdr:pic>
      <xdr:nvPicPr>
        <xdr:cNvPr id="578" name="Imagem 57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36</xdr:row>
      <xdr:rowOff>0</xdr:rowOff>
    </xdr:from>
    <xdr:ext cx="0" cy="352426"/>
    <xdr:pic>
      <xdr:nvPicPr>
        <xdr:cNvPr id="579" name="Imagem 57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36</xdr:row>
      <xdr:rowOff>0</xdr:rowOff>
    </xdr:from>
    <xdr:ext cx="3173" cy="336551"/>
    <xdr:pic>
      <xdr:nvPicPr>
        <xdr:cNvPr id="580" name="Imagem 57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36</xdr:row>
      <xdr:rowOff>0</xdr:rowOff>
    </xdr:from>
    <xdr:ext cx="0" cy="352426"/>
    <xdr:pic>
      <xdr:nvPicPr>
        <xdr:cNvPr id="581" name="Imagem 58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36</xdr:row>
      <xdr:rowOff>0</xdr:rowOff>
    </xdr:from>
    <xdr:ext cx="3173" cy="336551"/>
    <xdr:pic>
      <xdr:nvPicPr>
        <xdr:cNvPr id="582" name="Imagem 58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36</xdr:row>
      <xdr:rowOff>0</xdr:rowOff>
    </xdr:from>
    <xdr:ext cx="0" cy="352426"/>
    <xdr:pic>
      <xdr:nvPicPr>
        <xdr:cNvPr id="583" name="Imagem 58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36</xdr:row>
      <xdr:rowOff>0</xdr:rowOff>
    </xdr:from>
    <xdr:ext cx="3173" cy="336551"/>
    <xdr:pic>
      <xdr:nvPicPr>
        <xdr:cNvPr id="584" name="Imagem 58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36</xdr:row>
      <xdr:rowOff>0</xdr:rowOff>
    </xdr:from>
    <xdr:ext cx="0" cy="352426"/>
    <xdr:pic>
      <xdr:nvPicPr>
        <xdr:cNvPr id="585" name="Imagem 58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37</xdr:row>
      <xdr:rowOff>0</xdr:rowOff>
    </xdr:from>
    <xdr:ext cx="3173" cy="336551"/>
    <xdr:pic>
      <xdr:nvPicPr>
        <xdr:cNvPr id="586" name="Imagem 58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37</xdr:row>
      <xdr:rowOff>0</xdr:rowOff>
    </xdr:from>
    <xdr:ext cx="0" cy="352426"/>
    <xdr:pic>
      <xdr:nvPicPr>
        <xdr:cNvPr id="587" name="Imagem 58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37</xdr:row>
      <xdr:rowOff>0</xdr:rowOff>
    </xdr:from>
    <xdr:ext cx="3173" cy="336551"/>
    <xdr:pic>
      <xdr:nvPicPr>
        <xdr:cNvPr id="588" name="Imagem 58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37</xdr:row>
      <xdr:rowOff>0</xdr:rowOff>
    </xdr:from>
    <xdr:ext cx="0" cy="352426"/>
    <xdr:pic>
      <xdr:nvPicPr>
        <xdr:cNvPr id="589" name="Imagem 58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37</xdr:row>
      <xdr:rowOff>0</xdr:rowOff>
    </xdr:from>
    <xdr:ext cx="3173" cy="336551"/>
    <xdr:pic>
      <xdr:nvPicPr>
        <xdr:cNvPr id="590" name="Imagem 58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37</xdr:row>
      <xdr:rowOff>0</xdr:rowOff>
    </xdr:from>
    <xdr:ext cx="0" cy="352426"/>
    <xdr:pic>
      <xdr:nvPicPr>
        <xdr:cNvPr id="591" name="Imagem 59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37</xdr:row>
      <xdr:rowOff>0</xdr:rowOff>
    </xdr:from>
    <xdr:ext cx="3173" cy="336551"/>
    <xdr:pic>
      <xdr:nvPicPr>
        <xdr:cNvPr id="592" name="Imagem 59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37</xdr:row>
      <xdr:rowOff>0</xdr:rowOff>
    </xdr:from>
    <xdr:ext cx="0" cy="352426"/>
    <xdr:pic>
      <xdr:nvPicPr>
        <xdr:cNvPr id="593" name="Imagem 59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38</xdr:row>
      <xdr:rowOff>0</xdr:rowOff>
    </xdr:from>
    <xdr:ext cx="3173" cy="336551"/>
    <xdr:pic>
      <xdr:nvPicPr>
        <xdr:cNvPr id="594" name="Imagem 59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38</xdr:row>
      <xdr:rowOff>0</xdr:rowOff>
    </xdr:from>
    <xdr:ext cx="0" cy="352426"/>
    <xdr:pic>
      <xdr:nvPicPr>
        <xdr:cNvPr id="595" name="Imagem 59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38</xdr:row>
      <xdr:rowOff>0</xdr:rowOff>
    </xdr:from>
    <xdr:ext cx="3173" cy="336551"/>
    <xdr:pic>
      <xdr:nvPicPr>
        <xdr:cNvPr id="596" name="Imagem 59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38</xdr:row>
      <xdr:rowOff>0</xdr:rowOff>
    </xdr:from>
    <xdr:ext cx="0" cy="352426"/>
    <xdr:pic>
      <xdr:nvPicPr>
        <xdr:cNvPr id="597" name="Imagem 59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38</xdr:row>
      <xdr:rowOff>0</xdr:rowOff>
    </xdr:from>
    <xdr:ext cx="3173" cy="336551"/>
    <xdr:pic>
      <xdr:nvPicPr>
        <xdr:cNvPr id="598" name="Imagem 59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38</xdr:row>
      <xdr:rowOff>0</xdr:rowOff>
    </xdr:from>
    <xdr:ext cx="0" cy="352426"/>
    <xdr:pic>
      <xdr:nvPicPr>
        <xdr:cNvPr id="599" name="Imagem 59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38</xdr:row>
      <xdr:rowOff>0</xdr:rowOff>
    </xdr:from>
    <xdr:ext cx="3173" cy="336551"/>
    <xdr:pic>
      <xdr:nvPicPr>
        <xdr:cNvPr id="600" name="Imagem 59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38</xdr:row>
      <xdr:rowOff>0</xdr:rowOff>
    </xdr:from>
    <xdr:ext cx="0" cy="352426"/>
    <xdr:pic>
      <xdr:nvPicPr>
        <xdr:cNvPr id="601" name="Imagem 60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39</xdr:row>
      <xdr:rowOff>0</xdr:rowOff>
    </xdr:from>
    <xdr:ext cx="3173" cy="336551"/>
    <xdr:pic>
      <xdr:nvPicPr>
        <xdr:cNvPr id="602" name="Imagem 60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39</xdr:row>
      <xdr:rowOff>0</xdr:rowOff>
    </xdr:from>
    <xdr:ext cx="0" cy="352426"/>
    <xdr:pic>
      <xdr:nvPicPr>
        <xdr:cNvPr id="603" name="Imagem 60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39</xdr:row>
      <xdr:rowOff>0</xdr:rowOff>
    </xdr:from>
    <xdr:ext cx="3173" cy="336551"/>
    <xdr:pic>
      <xdr:nvPicPr>
        <xdr:cNvPr id="604" name="Imagem 60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39</xdr:row>
      <xdr:rowOff>0</xdr:rowOff>
    </xdr:from>
    <xdr:ext cx="0" cy="352426"/>
    <xdr:pic>
      <xdr:nvPicPr>
        <xdr:cNvPr id="605" name="Imagem 60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39</xdr:row>
      <xdr:rowOff>0</xdr:rowOff>
    </xdr:from>
    <xdr:ext cx="3173" cy="336551"/>
    <xdr:pic>
      <xdr:nvPicPr>
        <xdr:cNvPr id="606" name="Imagem 60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39</xdr:row>
      <xdr:rowOff>0</xdr:rowOff>
    </xdr:from>
    <xdr:ext cx="0" cy="352426"/>
    <xdr:pic>
      <xdr:nvPicPr>
        <xdr:cNvPr id="607" name="Imagem 60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39</xdr:row>
      <xdr:rowOff>0</xdr:rowOff>
    </xdr:from>
    <xdr:ext cx="3173" cy="336551"/>
    <xdr:pic>
      <xdr:nvPicPr>
        <xdr:cNvPr id="608" name="Imagem 60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39</xdr:row>
      <xdr:rowOff>0</xdr:rowOff>
    </xdr:from>
    <xdr:ext cx="0" cy="352426"/>
    <xdr:pic>
      <xdr:nvPicPr>
        <xdr:cNvPr id="609" name="Imagem 60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40</xdr:row>
      <xdr:rowOff>0</xdr:rowOff>
    </xdr:from>
    <xdr:ext cx="3173" cy="336551"/>
    <xdr:pic>
      <xdr:nvPicPr>
        <xdr:cNvPr id="610" name="Imagem 60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40</xdr:row>
      <xdr:rowOff>0</xdr:rowOff>
    </xdr:from>
    <xdr:ext cx="0" cy="352426"/>
    <xdr:pic>
      <xdr:nvPicPr>
        <xdr:cNvPr id="611" name="Imagem 61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40</xdr:row>
      <xdr:rowOff>0</xdr:rowOff>
    </xdr:from>
    <xdr:ext cx="3173" cy="336551"/>
    <xdr:pic>
      <xdr:nvPicPr>
        <xdr:cNvPr id="612" name="Imagem 61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40</xdr:row>
      <xdr:rowOff>0</xdr:rowOff>
    </xdr:from>
    <xdr:ext cx="0" cy="352426"/>
    <xdr:pic>
      <xdr:nvPicPr>
        <xdr:cNvPr id="613" name="Imagem 61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40</xdr:row>
      <xdr:rowOff>0</xdr:rowOff>
    </xdr:from>
    <xdr:ext cx="3173" cy="336551"/>
    <xdr:pic>
      <xdr:nvPicPr>
        <xdr:cNvPr id="614" name="Imagem 61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40</xdr:row>
      <xdr:rowOff>0</xdr:rowOff>
    </xdr:from>
    <xdr:ext cx="0" cy="352426"/>
    <xdr:pic>
      <xdr:nvPicPr>
        <xdr:cNvPr id="615" name="Imagem 61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40</xdr:row>
      <xdr:rowOff>0</xdr:rowOff>
    </xdr:from>
    <xdr:ext cx="3173" cy="336551"/>
    <xdr:pic>
      <xdr:nvPicPr>
        <xdr:cNvPr id="616" name="Imagem 61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40</xdr:row>
      <xdr:rowOff>0</xdr:rowOff>
    </xdr:from>
    <xdr:ext cx="0" cy="352426"/>
    <xdr:pic>
      <xdr:nvPicPr>
        <xdr:cNvPr id="617" name="Imagem 61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41</xdr:row>
      <xdr:rowOff>0</xdr:rowOff>
    </xdr:from>
    <xdr:ext cx="3173" cy="336551"/>
    <xdr:pic>
      <xdr:nvPicPr>
        <xdr:cNvPr id="618" name="Imagem 61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41</xdr:row>
      <xdr:rowOff>0</xdr:rowOff>
    </xdr:from>
    <xdr:ext cx="0" cy="352426"/>
    <xdr:pic>
      <xdr:nvPicPr>
        <xdr:cNvPr id="619" name="Imagem 61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41</xdr:row>
      <xdr:rowOff>0</xdr:rowOff>
    </xdr:from>
    <xdr:ext cx="3173" cy="336551"/>
    <xdr:pic>
      <xdr:nvPicPr>
        <xdr:cNvPr id="620" name="Imagem 61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41</xdr:row>
      <xdr:rowOff>0</xdr:rowOff>
    </xdr:from>
    <xdr:ext cx="0" cy="352426"/>
    <xdr:pic>
      <xdr:nvPicPr>
        <xdr:cNvPr id="621" name="Imagem 62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41</xdr:row>
      <xdr:rowOff>0</xdr:rowOff>
    </xdr:from>
    <xdr:ext cx="3173" cy="336551"/>
    <xdr:pic>
      <xdr:nvPicPr>
        <xdr:cNvPr id="622" name="Imagem 62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41</xdr:row>
      <xdr:rowOff>0</xdr:rowOff>
    </xdr:from>
    <xdr:ext cx="0" cy="352426"/>
    <xdr:pic>
      <xdr:nvPicPr>
        <xdr:cNvPr id="623" name="Imagem 62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41</xdr:row>
      <xdr:rowOff>0</xdr:rowOff>
    </xdr:from>
    <xdr:ext cx="3173" cy="336551"/>
    <xdr:pic>
      <xdr:nvPicPr>
        <xdr:cNvPr id="624" name="Imagem 62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41</xdr:row>
      <xdr:rowOff>0</xdr:rowOff>
    </xdr:from>
    <xdr:ext cx="0" cy="352426"/>
    <xdr:pic>
      <xdr:nvPicPr>
        <xdr:cNvPr id="625" name="Imagem 62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42</xdr:row>
      <xdr:rowOff>0</xdr:rowOff>
    </xdr:from>
    <xdr:ext cx="3173" cy="336551"/>
    <xdr:pic>
      <xdr:nvPicPr>
        <xdr:cNvPr id="626" name="Imagem 62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42</xdr:row>
      <xdr:rowOff>0</xdr:rowOff>
    </xdr:from>
    <xdr:ext cx="0" cy="352426"/>
    <xdr:pic>
      <xdr:nvPicPr>
        <xdr:cNvPr id="627" name="Imagem 62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42</xdr:row>
      <xdr:rowOff>0</xdr:rowOff>
    </xdr:from>
    <xdr:ext cx="3173" cy="336551"/>
    <xdr:pic>
      <xdr:nvPicPr>
        <xdr:cNvPr id="628" name="Imagem 62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42</xdr:row>
      <xdr:rowOff>0</xdr:rowOff>
    </xdr:from>
    <xdr:ext cx="0" cy="352426"/>
    <xdr:pic>
      <xdr:nvPicPr>
        <xdr:cNvPr id="629" name="Imagem 62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42</xdr:row>
      <xdr:rowOff>0</xdr:rowOff>
    </xdr:from>
    <xdr:ext cx="3173" cy="336551"/>
    <xdr:pic>
      <xdr:nvPicPr>
        <xdr:cNvPr id="630" name="Imagem 62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42</xdr:row>
      <xdr:rowOff>0</xdr:rowOff>
    </xdr:from>
    <xdr:ext cx="0" cy="352426"/>
    <xdr:pic>
      <xdr:nvPicPr>
        <xdr:cNvPr id="631" name="Imagem 63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42</xdr:row>
      <xdr:rowOff>0</xdr:rowOff>
    </xdr:from>
    <xdr:ext cx="3173" cy="336551"/>
    <xdr:pic>
      <xdr:nvPicPr>
        <xdr:cNvPr id="632" name="Imagem 63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42</xdr:row>
      <xdr:rowOff>0</xdr:rowOff>
    </xdr:from>
    <xdr:ext cx="0" cy="352426"/>
    <xdr:pic>
      <xdr:nvPicPr>
        <xdr:cNvPr id="633" name="Imagem 63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43</xdr:row>
      <xdr:rowOff>0</xdr:rowOff>
    </xdr:from>
    <xdr:ext cx="3173" cy="336551"/>
    <xdr:pic>
      <xdr:nvPicPr>
        <xdr:cNvPr id="634" name="Imagem 63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43</xdr:row>
      <xdr:rowOff>0</xdr:rowOff>
    </xdr:from>
    <xdr:ext cx="0" cy="352426"/>
    <xdr:pic>
      <xdr:nvPicPr>
        <xdr:cNvPr id="635" name="Imagem 63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43</xdr:row>
      <xdr:rowOff>0</xdr:rowOff>
    </xdr:from>
    <xdr:ext cx="3173" cy="336551"/>
    <xdr:pic>
      <xdr:nvPicPr>
        <xdr:cNvPr id="636" name="Imagem 63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43</xdr:row>
      <xdr:rowOff>0</xdr:rowOff>
    </xdr:from>
    <xdr:ext cx="0" cy="352426"/>
    <xdr:pic>
      <xdr:nvPicPr>
        <xdr:cNvPr id="637" name="Imagem 63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43</xdr:row>
      <xdr:rowOff>0</xdr:rowOff>
    </xdr:from>
    <xdr:ext cx="3173" cy="336551"/>
    <xdr:pic>
      <xdr:nvPicPr>
        <xdr:cNvPr id="638" name="Imagem 63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43</xdr:row>
      <xdr:rowOff>0</xdr:rowOff>
    </xdr:from>
    <xdr:ext cx="0" cy="352426"/>
    <xdr:pic>
      <xdr:nvPicPr>
        <xdr:cNvPr id="639" name="Imagem 63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43</xdr:row>
      <xdr:rowOff>0</xdr:rowOff>
    </xdr:from>
    <xdr:ext cx="3173" cy="336551"/>
    <xdr:pic>
      <xdr:nvPicPr>
        <xdr:cNvPr id="640" name="Imagem 63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43</xdr:row>
      <xdr:rowOff>0</xdr:rowOff>
    </xdr:from>
    <xdr:ext cx="0" cy="352426"/>
    <xdr:pic>
      <xdr:nvPicPr>
        <xdr:cNvPr id="641" name="Imagem 64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44</xdr:row>
      <xdr:rowOff>0</xdr:rowOff>
    </xdr:from>
    <xdr:ext cx="3173" cy="336551"/>
    <xdr:pic>
      <xdr:nvPicPr>
        <xdr:cNvPr id="642" name="Imagem 64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44</xdr:row>
      <xdr:rowOff>0</xdr:rowOff>
    </xdr:from>
    <xdr:ext cx="0" cy="352426"/>
    <xdr:pic>
      <xdr:nvPicPr>
        <xdr:cNvPr id="643" name="Imagem 64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44</xdr:row>
      <xdr:rowOff>0</xdr:rowOff>
    </xdr:from>
    <xdr:ext cx="3173" cy="336551"/>
    <xdr:pic>
      <xdr:nvPicPr>
        <xdr:cNvPr id="644" name="Imagem 64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44</xdr:row>
      <xdr:rowOff>0</xdr:rowOff>
    </xdr:from>
    <xdr:ext cx="0" cy="352426"/>
    <xdr:pic>
      <xdr:nvPicPr>
        <xdr:cNvPr id="645" name="Imagem 64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44</xdr:row>
      <xdr:rowOff>0</xdr:rowOff>
    </xdr:from>
    <xdr:ext cx="3173" cy="336551"/>
    <xdr:pic>
      <xdr:nvPicPr>
        <xdr:cNvPr id="646" name="Imagem 64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44</xdr:row>
      <xdr:rowOff>0</xdr:rowOff>
    </xdr:from>
    <xdr:ext cx="0" cy="352426"/>
    <xdr:pic>
      <xdr:nvPicPr>
        <xdr:cNvPr id="647" name="Imagem 64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44</xdr:row>
      <xdr:rowOff>0</xdr:rowOff>
    </xdr:from>
    <xdr:ext cx="3173" cy="336551"/>
    <xdr:pic>
      <xdr:nvPicPr>
        <xdr:cNvPr id="648" name="Imagem 64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44</xdr:row>
      <xdr:rowOff>0</xdr:rowOff>
    </xdr:from>
    <xdr:ext cx="0" cy="352426"/>
    <xdr:pic>
      <xdr:nvPicPr>
        <xdr:cNvPr id="649" name="Imagem 64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45</xdr:row>
      <xdr:rowOff>0</xdr:rowOff>
    </xdr:from>
    <xdr:ext cx="3173" cy="336551"/>
    <xdr:pic>
      <xdr:nvPicPr>
        <xdr:cNvPr id="650" name="Imagem 64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45</xdr:row>
      <xdr:rowOff>0</xdr:rowOff>
    </xdr:from>
    <xdr:ext cx="0" cy="352426"/>
    <xdr:pic>
      <xdr:nvPicPr>
        <xdr:cNvPr id="651" name="Imagem 65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45</xdr:row>
      <xdr:rowOff>0</xdr:rowOff>
    </xdr:from>
    <xdr:ext cx="3173" cy="336551"/>
    <xdr:pic>
      <xdr:nvPicPr>
        <xdr:cNvPr id="652" name="Imagem 65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45</xdr:row>
      <xdr:rowOff>0</xdr:rowOff>
    </xdr:from>
    <xdr:ext cx="0" cy="352426"/>
    <xdr:pic>
      <xdr:nvPicPr>
        <xdr:cNvPr id="653" name="Imagem 65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45</xdr:row>
      <xdr:rowOff>0</xdr:rowOff>
    </xdr:from>
    <xdr:ext cx="3173" cy="336551"/>
    <xdr:pic>
      <xdr:nvPicPr>
        <xdr:cNvPr id="654" name="Imagem 65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45</xdr:row>
      <xdr:rowOff>0</xdr:rowOff>
    </xdr:from>
    <xdr:ext cx="0" cy="352426"/>
    <xdr:pic>
      <xdr:nvPicPr>
        <xdr:cNvPr id="655" name="Imagem 65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45</xdr:row>
      <xdr:rowOff>0</xdr:rowOff>
    </xdr:from>
    <xdr:ext cx="3173" cy="336551"/>
    <xdr:pic>
      <xdr:nvPicPr>
        <xdr:cNvPr id="656" name="Imagem 65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45</xdr:row>
      <xdr:rowOff>0</xdr:rowOff>
    </xdr:from>
    <xdr:ext cx="0" cy="352426"/>
    <xdr:pic>
      <xdr:nvPicPr>
        <xdr:cNvPr id="657" name="Imagem 65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46</xdr:row>
      <xdr:rowOff>0</xdr:rowOff>
    </xdr:from>
    <xdr:ext cx="3173" cy="336551"/>
    <xdr:pic>
      <xdr:nvPicPr>
        <xdr:cNvPr id="658" name="Imagem 65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46</xdr:row>
      <xdr:rowOff>0</xdr:rowOff>
    </xdr:from>
    <xdr:ext cx="0" cy="352426"/>
    <xdr:pic>
      <xdr:nvPicPr>
        <xdr:cNvPr id="659" name="Imagem 65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46</xdr:row>
      <xdr:rowOff>0</xdr:rowOff>
    </xdr:from>
    <xdr:ext cx="3173" cy="336551"/>
    <xdr:pic>
      <xdr:nvPicPr>
        <xdr:cNvPr id="660" name="Imagem 65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46</xdr:row>
      <xdr:rowOff>0</xdr:rowOff>
    </xdr:from>
    <xdr:ext cx="0" cy="352426"/>
    <xdr:pic>
      <xdr:nvPicPr>
        <xdr:cNvPr id="661" name="Imagem 66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46</xdr:row>
      <xdr:rowOff>0</xdr:rowOff>
    </xdr:from>
    <xdr:ext cx="3173" cy="336551"/>
    <xdr:pic>
      <xdr:nvPicPr>
        <xdr:cNvPr id="662" name="Imagem 66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46</xdr:row>
      <xdr:rowOff>0</xdr:rowOff>
    </xdr:from>
    <xdr:ext cx="0" cy="352426"/>
    <xdr:pic>
      <xdr:nvPicPr>
        <xdr:cNvPr id="663" name="Imagem 66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46</xdr:row>
      <xdr:rowOff>0</xdr:rowOff>
    </xdr:from>
    <xdr:ext cx="3173" cy="336551"/>
    <xdr:pic>
      <xdr:nvPicPr>
        <xdr:cNvPr id="664" name="Imagem 66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46</xdr:row>
      <xdr:rowOff>0</xdr:rowOff>
    </xdr:from>
    <xdr:ext cx="0" cy="352426"/>
    <xdr:pic>
      <xdr:nvPicPr>
        <xdr:cNvPr id="665" name="Imagem 66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47</xdr:row>
      <xdr:rowOff>0</xdr:rowOff>
    </xdr:from>
    <xdr:ext cx="3173" cy="336551"/>
    <xdr:pic>
      <xdr:nvPicPr>
        <xdr:cNvPr id="666" name="Imagem 66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47</xdr:row>
      <xdr:rowOff>0</xdr:rowOff>
    </xdr:from>
    <xdr:ext cx="0" cy="352426"/>
    <xdr:pic>
      <xdr:nvPicPr>
        <xdr:cNvPr id="667" name="Imagem 66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47</xdr:row>
      <xdr:rowOff>0</xdr:rowOff>
    </xdr:from>
    <xdr:ext cx="3173" cy="336551"/>
    <xdr:pic>
      <xdr:nvPicPr>
        <xdr:cNvPr id="668" name="Imagem 66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47</xdr:row>
      <xdr:rowOff>0</xdr:rowOff>
    </xdr:from>
    <xdr:ext cx="0" cy="352426"/>
    <xdr:pic>
      <xdr:nvPicPr>
        <xdr:cNvPr id="669" name="Imagem 66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47</xdr:row>
      <xdr:rowOff>0</xdr:rowOff>
    </xdr:from>
    <xdr:ext cx="3173" cy="336551"/>
    <xdr:pic>
      <xdr:nvPicPr>
        <xdr:cNvPr id="670" name="Imagem 66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47</xdr:row>
      <xdr:rowOff>0</xdr:rowOff>
    </xdr:from>
    <xdr:ext cx="0" cy="352426"/>
    <xdr:pic>
      <xdr:nvPicPr>
        <xdr:cNvPr id="671" name="Imagem 67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47</xdr:row>
      <xdr:rowOff>0</xdr:rowOff>
    </xdr:from>
    <xdr:ext cx="3173" cy="336551"/>
    <xdr:pic>
      <xdr:nvPicPr>
        <xdr:cNvPr id="672" name="Imagem 67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47</xdr:row>
      <xdr:rowOff>0</xdr:rowOff>
    </xdr:from>
    <xdr:ext cx="0" cy="352426"/>
    <xdr:pic>
      <xdr:nvPicPr>
        <xdr:cNvPr id="673" name="Imagem 67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48</xdr:row>
      <xdr:rowOff>0</xdr:rowOff>
    </xdr:from>
    <xdr:ext cx="3173" cy="336551"/>
    <xdr:pic>
      <xdr:nvPicPr>
        <xdr:cNvPr id="674" name="Imagem 67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48</xdr:row>
      <xdr:rowOff>0</xdr:rowOff>
    </xdr:from>
    <xdr:ext cx="0" cy="352426"/>
    <xdr:pic>
      <xdr:nvPicPr>
        <xdr:cNvPr id="675" name="Imagem 67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48</xdr:row>
      <xdr:rowOff>0</xdr:rowOff>
    </xdr:from>
    <xdr:ext cx="3173" cy="336551"/>
    <xdr:pic>
      <xdr:nvPicPr>
        <xdr:cNvPr id="676" name="Imagem 67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48</xdr:row>
      <xdr:rowOff>0</xdr:rowOff>
    </xdr:from>
    <xdr:ext cx="0" cy="352426"/>
    <xdr:pic>
      <xdr:nvPicPr>
        <xdr:cNvPr id="677" name="Imagem 67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48</xdr:row>
      <xdr:rowOff>0</xdr:rowOff>
    </xdr:from>
    <xdr:ext cx="3173" cy="336551"/>
    <xdr:pic>
      <xdr:nvPicPr>
        <xdr:cNvPr id="678" name="Imagem 67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48</xdr:row>
      <xdr:rowOff>0</xdr:rowOff>
    </xdr:from>
    <xdr:ext cx="0" cy="352426"/>
    <xdr:pic>
      <xdr:nvPicPr>
        <xdr:cNvPr id="679" name="Imagem 67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48</xdr:row>
      <xdr:rowOff>0</xdr:rowOff>
    </xdr:from>
    <xdr:ext cx="3173" cy="336551"/>
    <xdr:pic>
      <xdr:nvPicPr>
        <xdr:cNvPr id="680" name="Imagem 67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48</xdr:row>
      <xdr:rowOff>0</xdr:rowOff>
    </xdr:from>
    <xdr:ext cx="0" cy="352426"/>
    <xdr:pic>
      <xdr:nvPicPr>
        <xdr:cNvPr id="681" name="Imagem 68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49</xdr:row>
      <xdr:rowOff>0</xdr:rowOff>
    </xdr:from>
    <xdr:ext cx="3173" cy="336551"/>
    <xdr:pic>
      <xdr:nvPicPr>
        <xdr:cNvPr id="682" name="Imagem 68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49</xdr:row>
      <xdr:rowOff>0</xdr:rowOff>
    </xdr:from>
    <xdr:ext cx="0" cy="352426"/>
    <xdr:pic>
      <xdr:nvPicPr>
        <xdr:cNvPr id="683" name="Imagem 68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49</xdr:row>
      <xdr:rowOff>0</xdr:rowOff>
    </xdr:from>
    <xdr:ext cx="3173" cy="336551"/>
    <xdr:pic>
      <xdr:nvPicPr>
        <xdr:cNvPr id="684" name="Imagem 68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49</xdr:row>
      <xdr:rowOff>0</xdr:rowOff>
    </xdr:from>
    <xdr:ext cx="0" cy="352426"/>
    <xdr:pic>
      <xdr:nvPicPr>
        <xdr:cNvPr id="685" name="Imagem 68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49</xdr:row>
      <xdr:rowOff>0</xdr:rowOff>
    </xdr:from>
    <xdr:ext cx="3173" cy="336551"/>
    <xdr:pic>
      <xdr:nvPicPr>
        <xdr:cNvPr id="686" name="Imagem 68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49</xdr:row>
      <xdr:rowOff>0</xdr:rowOff>
    </xdr:from>
    <xdr:ext cx="0" cy="352426"/>
    <xdr:pic>
      <xdr:nvPicPr>
        <xdr:cNvPr id="687" name="Imagem 68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49</xdr:row>
      <xdr:rowOff>0</xdr:rowOff>
    </xdr:from>
    <xdr:ext cx="3173" cy="336551"/>
    <xdr:pic>
      <xdr:nvPicPr>
        <xdr:cNvPr id="688" name="Imagem 68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49</xdr:row>
      <xdr:rowOff>0</xdr:rowOff>
    </xdr:from>
    <xdr:ext cx="0" cy="352426"/>
    <xdr:pic>
      <xdr:nvPicPr>
        <xdr:cNvPr id="689" name="Imagem 68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50</xdr:row>
      <xdr:rowOff>0</xdr:rowOff>
    </xdr:from>
    <xdr:ext cx="3173" cy="336551"/>
    <xdr:pic>
      <xdr:nvPicPr>
        <xdr:cNvPr id="690" name="Imagem 68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50</xdr:row>
      <xdr:rowOff>0</xdr:rowOff>
    </xdr:from>
    <xdr:ext cx="0" cy="352426"/>
    <xdr:pic>
      <xdr:nvPicPr>
        <xdr:cNvPr id="691" name="Imagem 69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50</xdr:row>
      <xdr:rowOff>0</xdr:rowOff>
    </xdr:from>
    <xdr:ext cx="3173" cy="336551"/>
    <xdr:pic>
      <xdr:nvPicPr>
        <xdr:cNvPr id="692" name="Imagem 69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50</xdr:row>
      <xdr:rowOff>0</xdr:rowOff>
    </xdr:from>
    <xdr:ext cx="0" cy="352426"/>
    <xdr:pic>
      <xdr:nvPicPr>
        <xdr:cNvPr id="693" name="Imagem 69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50</xdr:row>
      <xdr:rowOff>0</xdr:rowOff>
    </xdr:from>
    <xdr:ext cx="3173" cy="336551"/>
    <xdr:pic>
      <xdr:nvPicPr>
        <xdr:cNvPr id="694" name="Imagem 69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50</xdr:row>
      <xdr:rowOff>0</xdr:rowOff>
    </xdr:from>
    <xdr:ext cx="0" cy="352426"/>
    <xdr:pic>
      <xdr:nvPicPr>
        <xdr:cNvPr id="695" name="Imagem 69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50</xdr:row>
      <xdr:rowOff>0</xdr:rowOff>
    </xdr:from>
    <xdr:ext cx="3173" cy="336551"/>
    <xdr:pic>
      <xdr:nvPicPr>
        <xdr:cNvPr id="696" name="Imagem 69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50</xdr:row>
      <xdr:rowOff>0</xdr:rowOff>
    </xdr:from>
    <xdr:ext cx="0" cy="352426"/>
    <xdr:pic>
      <xdr:nvPicPr>
        <xdr:cNvPr id="697" name="Imagem 69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51</xdr:row>
      <xdr:rowOff>0</xdr:rowOff>
    </xdr:from>
    <xdr:ext cx="3173" cy="336551"/>
    <xdr:pic>
      <xdr:nvPicPr>
        <xdr:cNvPr id="698" name="Imagem 69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51</xdr:row>
      <xdr:rowOff>0</xdr:rowOff>
    </xdr:from>
    <xdr:ext cx="0" cy="352426"/>
    <xdr:pic>
      <xdr:nvPicPr>
        <xdr:cNvPr id="699" name="Imagem 69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51</xdr:row>
      <xdr:rowOff>0</xdr:rowOff>
    </xdr:from>
    <xdr:ext cx="3173" cy="336551"/>
    <xdr:pic>
      <xdr:nvPicPr>
        <xdr:cNvPr id="700" name="Imagem 69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51</xdr:row>
      <xdr:rowOff>0</xdr:rowOff>
    </xdr:from>
    <xdr:ext cx="0" cy="352426"/>
    <xdr:pic>
      <xdr:nvPicPr>
        <xdr:cNvPr id="701" name="Imagem 70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51</xdr:row>
      <xdr:rowOff>0</xdr:rowOff>
    </xdr:from>
    <xdr:ext cx="3173" cy="336551"/>
    <xdr:pic>
      <xdr:nvPicPr>
        <xdr:cNvPr id="702" name="Imagem 70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51</xdr:row>
      <xdr:rowOff>0</xdr:rowOff>
    </xdr:from>
    <xdr:ext cx="0" cy="352426"/>
    <xdr:pic>
      <xdr:nvPicPr>
        <xdr:cNvPr id="703" name="Imagem 70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51</xdr:row>
      <xdr:rowOff>0</xdr:rowOff>
    </xdr:from>
    <xdr:ext cx="3173" cy="336551"/>
    <xdr:pic>
      <xdr:nvPicPr>
        <xdr:cNvPr id="704" name="Imagem 70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51</xdr:row>
      <xdr:rowOff>0</xdr:rowOff>
    </xdr:from>
    <xdr:ext cx="0" cy="352426"/>
    <xdr:pic>
      <xdr:nvPicPr>
        <xdr:cNvPr id="705" name="Imagem 70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52</xdr:row>
      <xdr:rowOff>0</xdr:rowOff>
    </xdr:from>
    <xdr:ext cx="3173" cy="336551"/>
    <xdr:pic>
      <xdr:nvPicPr>
        <xdr:cNvPr id="706" name="Imagem 70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52</xdr:row>
      <xdr:rowOff>0</xdr:rowOff>
    </xdr:from>
    <xdr:ext cx="0" cy="352426"/>
    <xdr:pic>
      <xdr:nvPicPr>
        <xdr:cNvPr id="707" name="Imagem 70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52</xdr:row>
      <xdr:rowOff>0</xdr:rowOff>
    </xdr:from>
    <xdr:ext cx="3173" cy="336551"/>
    <xdr:pic>
      <xdr:nvPicPr>
        <xdr:cNvPr id="708" name="Imagem 70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52</xdr:row>
      <xdr:rowOff>0</xdr:rowOff>
    </xdr:from>
    <xdr:ext cx="0" cy="352426"/>
    <xdr:pic>
      <xdr:nvPicPr>
        <xdr:cNvPr id="709" name="Imagem 70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52</xdr:row>
      <xdr:rowOff>0</xdr:rowOff>
    </xdr:from>
    <xdr:ext cx="3173" cy="336551"/>
    <xdr:pic>
      <xdr:nvPicPr>
        <xdr:cNvPr id="710" name="Imagem 70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52</xdr:row>
      <xdr:rowOff>0</xdr:rowOff>
    </xdr:from>
    <xdr:ext cx="0" cy="352426"/>
    <xdr:pic>
      <xdr:nvPicPr>
        <xdr:cNvPr id="711" name="Imagem 71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52</xdr:row>
      <xdr:rowOff>0</xdr:rowOff>
    </xdr:from>
    <xdr:ext cx="3173" cy="336551"/>
    <xdr:pic>
      <xdr:nvPicPr>
        <xdr:cNvPr id="712" name="Imagem 71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52</xdr:row>
      <xdr:rowOff>0</xdr:rowOff>
    </xdr:from>
    <xdr:ext cx="0" cy="352426"/>
    <xdr:pic>
      <xdr:nvPicPr>
        <xdr:cNvPr id="713" name="Imagem 71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53</xdr:row>
      <xdr:rowOff>0</xdr:rowOff>
    </xdr:from>
    <xdr:ext cx="3173" cy="336551"/>
    <xdr:pic>
      <xdr:nvPicPr>
        <xdr:cNvPr id="714" name="Imagem 71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53</xdr:row>
      <xdr:rowOff>0</xdr:rowOff>
    </xdr:from>
    <xdr:ext cx="0" cy="352426"/>
    <xdr:pic>
      <xdr:nvPicPr>
        <xdr:cNvPr id="715" name="Imagem 71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53</xdr:row>
      <xdr:rowOff>0</xdr:rowOff>
    </xdr:from>
    <xdr:ext cx="3173" cy="336551"/>
    <xdr:pic>
      <xdr:nvPicPr>
        <xdr:cNvPr id="716" name="Imagem 71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53</xdr:row>
      <xdr:rowOff>0</xdr:rowOff>
    </xdr:from>
    <xdr:ext cx="0" cy="352426"/>
    <xdr:pic>
      <xdr:nvPicPr>
        <xdr:cNvPr id="717" name="Imagem 71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53</xdr:row>
      <xdr:rowOff>0</xdr:rowOff>
    </xdr:from>
    <xdr:ext cx="3173" cy="336551"/>
    <xdr:pic>
      <xdr:nvPicPr>
        <xdr:cNvPr id="718" name="Imagem 71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53</xdr:row>
      <xdr:rowOff>0</xdr:rowOff>
    </xdr:from>
    <xdr:ext cx="0" cy="352426"/>
    <xdr:pic>
      <xdr:nvPicPr>
        <xdr:cNvPr id="719" name="Imagem 71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53</xdr:row>
      <xdr:rowOff>0</xdr:rowOff>
    </xdr:from>
    <xdr:ext cx="3173" cy="336551"/>
    <xdr:pic>
      <xdr:nvPicPr>
        <xdr:cNvPr id="720" name="Imagem 71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53</xdr:row>
      <xdr:rowOff>0</xdr:rowOff>
    </xdr:from>
    <xdr:ext cx="0" cy="352426"/>
    <xdr:pic>
      <xdr:nvPicPr>
        <xdr:cNvPr id="721" name="Imagem 72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54</xdr:row>
      <xdr:rowOff>0</xdr:rowOff>
    </xdr:from>
    <xdr:ext cx="3173" cy="336551"/>
    <xdr:pic>
      <xdr:nvPicPr>
        <xdr:cNvPr id="722" name="Imagem 72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54</xdr:row>
      <xdr:rowOff>0</xdr:rowOff>
    </xdr:from>
    <xdr:ext cx="0" cy="352426"/>
    <xdr:pic>
      <xdr:nvPicPr>
        <xdr:cNvPr id="723" name="Imagem 72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54</xdr:row>
      <xdr:rowOff>0</xdr:rowOff>
    </xdr:from>
    <xdr:ext cx="3173" cy="336551"/>
    <xdr:pic>
      <xdr:nvPicPr>
        <xdr:cNvPr id="724" name="Imagem 72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54</xdr:row>
      <xdr:rowOff>0</xdr:rowOff>
    </xdr:from>
    <xdr:ext cx="0" cy="352426"/>
    <xdr:pic>
      <xdr:nvPicPr>
        <xdr:cNvPr id="725" name="Imagem 72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54</xdr:row>
      <xdr:rowOff>0</xdr:rowOff>
    </xdr:from>
    <xdr:ext cx="3173" cy="336551"/>
    <xdr:pic>
      <xdr:nvPicPr>
        <xdr:cNvPr id="726" name="Imagem 72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54</xdr:row>
      <xdr:rowOff>0</xdr:rowOff>
    </xdr:from>
    <xdr:ext cx="0" cy="352426"/>
    <xdr:pic>
      <xdr:nvPicPr>
        <xdr:cNvPr id="727" name="Imagem 72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54</xdr:row>
      <xdr:rowOff>0</xdr:rowOff>
    </xdr:from>
    <xdr:ext cx="3173" cy="336551"/>
    <xdr:pic>
      <xdr:nvPicPr>
        <xdr:cNvPr id="728" name="Imagem 72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54</xdr:row>
      <xdr:rowOff>0</xdr:rowOff>
    </xdr:from>
    <xdr:ext cx="0" cy="352426"/>
    <xdr:pic>
      <xdr:nvPicPr>
        <xdr:cNvPr id="729" name="Imagem 72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55</xdr:row>
      <xdr:rowOff>0</xdr:rowOff>
    </xdr:from>
    <xdr:ext cx="3173" cy="336551"/>
    <xdr:pic>
      <xdr:nvPicPr>
        <xdr:cNvPr id="730" name="Imagem 72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55</xdr:row>
      <xdr:rowOff>0</xdr:rowOff>
    </xdr:from>
    <xdr:ext cx="0" cy="352426"/>
    <xdr:pic>
      <xdr:nvPicPr>
        <xdr:cNvPr id="731" name="Imagem 73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55</xdr:row>
      <xdr:rowOff>0</xdr:rowOff>
    </xdr:from>
    <xdr:ext cx="3173" cy="336551"/>
    <xdr:pic>
      <xdr:nvPicPr>
        <xdr:cNvPr id="732" name="Imagem 73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55</xdr:row>
      <xdr:rowOff>0</xdr:rowOff>
    </xdr:from>
    <xdr:ext cx="0" cy="352426"/>
    <xdr:pic>
      <xdr:nvPicPr>
        <xdr:cNvPr id="733" name="Imagem 73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55</xdr:row>
      <xdr:rowOff>0</xdr:rowOff>
    </xdr:from>
    <xdr:ext cx="3173" cy="336551"/>
    <xdr:pic>
      <xdr:nvPicPr>
        <xdr:cNvPr id="734" name="Imagem 73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55</xdr:row>
      <xdr:rowOff>0</xdr:rowOff>
    </xdr:from>
    <xdr:ext cx="0" cy="352426"/>
    <xdr:pic>
      <xdr:nvPicPr>
        <xdr:cNvPr id="735" name="Imagem 73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55</xdr:row>
      <xdr:rowOff>0</xdr:rowOff>
    </xdr:from>
    <xdr:ext cx="3173" cy="336551"/>
    <xdr:pic>
      <xdr:nvPicPr>
        <xdr:cNvPr id="736" name="Imagem 73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55</xdr:row>
      <xdr:rowOff>0</xdr:rowOff>
    </xdr:from>
    <xdr:ext cx="0" cy="352426"/>
    <xdr:pic>
      <xdr:nvPicPr>
        <xdr:cNvPr id="737" name="Imagem 73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56</xdr:row>
      <xdr:rowOff>0</xdr:rowOff>
    </xdr:from>
    <xdr:ext cx="3173" cy="336551"/>
    <xdr:pic>
      <xdr:nvPicPr>
        <xdr:cNvPr id="738" name="Imagem 73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56</xdr:row>
      <xdr:rowOff>0</xdr:rowOff>
    </xdr:from>
    <xdr:ext cx="0" cy="352426"/>
    <xdr:pic>
      <xdr:nvPicPr>
        <xdr:cNvPr id="739" name="Imagem 73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56</xdr:row>
      <xdr:rowOff>0</xdr:rowOff>
    </xdr:from>
    <xdr:ext cx="3173" cy="336551"/>
    <xdr:pic>
      <xdr:nvPicPr>
        <xdr:cNvPr id="740" name="Imagem 73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56</xdr:row>
      <xdr:rowOff>0</xdr:rowOff>
    </xdr:from>
    <xdr:ext cx="0" cy="352426"/>
    <xdr:pic>
      <xdr:nvPicPr>
        <xdr:cNvPr id="741" name="Imagem 74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56</xdr:row>
      <xdr:rowOff>0</xdr:rowOff>
    </xdr:from>
    <xdr:ext cx="3173" cy="336551"/>
    <xdr:pic>
      <xdr:nvPicPr>
        <xdr:cNvPr id="742" name="Imagem 74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56</xdr:row>
      <xdr:rowOff>0</xdr:rowOff>
    </xdr:from>
    <xdr:ext cx="0" cy="352426"/>
    <xdr:pic>
      <xdr:nvPicPr>
        <xdr:cNvPr id="743" name="Imagem 74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56</xdr:row>
      <xdr:rowOff>0</xdr:rowOff>
    </xdr:from>
    <xdr:ext cx="3173" cy="336551"/>
    <xdr:pic>
      <xdr:nvPicPr>
        <xdr:cNvPr id="744" name="Imagem 74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56</xdr:row>
      <xdr:rowOff>0</xdr:rowOff>
    </xdr:from>
    <xdr:ext cx="0" cy="352426"/>
    <xdr:pic>
      <xdr:nvPicPr>
        <xdr:cNvPr id="745" name="Imagem 74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57</xdr:row>
      <xdr:rowOff>0</xdr:rowOff>
    </xdr:from>
    <xdr:ext cx="3173" cy="336551"/>
    <xdr:pic>
      <xdr:nvPicPr>
        <xdr:cNvPr id="746" name="Imagem 74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57</xdr:row>
      <xdr:rowOff>0</xdr:rowOff>
    </xdr:from>
    <xdr:ext cx="0" cy="352426"/>
    <xdr:pic>
      <xdr:nvPicPr>
        <xdr:cNvPr id="747" name="Imagem 74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57</xdr:row>
      <xdr:rowOff>0</xdr:rowOff>
    </xdr:from>
    <xdr:ext cx="3173" cy="336551"/>
    <xdr:pic>
      <xdr:nvPicPr>
        <xdr:cNvPr id="748" name="Imagem 74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57</xdr:row>
      <xdr:rowOff>0</xdr:rowOff>
    </xdr:from>
    <xdr:ext cx="0" cy="352426"/>
    <xdr:pic>
      <xdr:nvPicPr>
        <xdr:cNvPr id="749" name="Imagem 74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57</xdr:row>
      <xdr:rowOff>0</xdr:rowOff>
    </xdr:from>
    <xdr:ext cx="3173" cy="336551"/>
    <xdr:pic>
      <xdr:nvPicPr>
        <xdr:cNvPr id="750" name="Imagem 74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57</xdr:row>
      <xdr:rowOff>0</xdr:rowOff>
    </xdr:from>
    <xdr:ext cx="0" cy="352426"/>
    <xdr:pic>
      <xdr:nvPicPr>
        <xdr:cNvPr id="751" name="Imagem 75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57</xdr:row>
      <xdr:rowOff>0</xdr:rowOff>
    </xdr:from>
    <xdr:ext cx="3173" cy="336551"/>
    <xdr:pic>
      <xdr:nvPicPr>
        <xdr:cNvPr id="752" name="Imagem 75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57</xdr:row>
      <xdr:rowOff>0</xdr:rowOff>
    </xdr:from>
    <xdr:ext cx="0" cy="352426"/>
    <xdr:pic>
      <xdr:nvPicPr>
        <xdr:cNvPr id="753" name="Imagem 75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58</xdr:row>
      <xdr:rowOff>0</xdr:rowOff>
    </xdr:from>
    <xdr:ext cx="3173" cy="336551"/>
    <xdr:pic>
      <xdr:nvPicPr>
        <xdr:cNvPr id="754" name="Imagem 75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58</xdr:row>
      <xdr:rowOff>0</xdr:rowOff>
    </xdr:from>
    <xdr:ext cx="0" cy="352426"/>
    <xdr:pic>
      <xdr:nvPicPr>
        <xdr:cNvPr id="755" name="Imagem 75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58</xdr:row>
      <xdr:rowOff>0</xdr:rowOff>
    </xdr:from>
    <xdr:ext cx="3173" cy="336551"/>
    <xdr:pic>
      <xdr:nvPicPr>
        <xdr:cNvPr id="756" name="Imagem 75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58</xdr:row>
      <xdr:rowOff>0</xdr:rowOff>
    </xdr:from>
    <xdr:ext cx="0" cy="352426"/>
    <xdr:pic>
      <xdr:nvPicPr>
        <xdr:cNvPr id="757" name="Imagem 75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58</xdr:row>
      <xdr:rowOff>0</xdr:rowOff>
    </xdr:from>
    <xdr:ext cx="3173" cy="336551"/>
    <xdr:pic>
      <xdr:nvPicPr>
        <xdr:cNvPr id="758" name="Imagem 75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58</xdr:row>
      <xdr:rowOff>0</xdr:rowOff>
    </xdr:from>
    <xdr:ext cx="0" cy="352426"/>
    <xdr:pic>
      <xdr:nvPicPr>
        <xdr:cNvPr id="759" name="Imagem 75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58</xdr:row>
      <xdr:rowOff>0</xdr:rowOff>
    </xdr:from>
    <xdr:ext cx="3173" cy="336551"/>
    <xdr:pic>
      <xdr:nvPicPr>
        <xdr:cNvPr id="760" name="Imagem 75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58</xdr:row>
      <xdr:rowOff>0</xdr:rowOff>
    </xdr:from>
    <xdr:ext cx="0" cy="352426"/>
    <xdr:pic>
      <xdr:nvPicPr>
        <xdr:cNvPr id="761" name="Imagem 76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59</xdr:row>
      <xdr:rowOff>0</xdr:rowOff>
    </xdr:from>
    <xdr:ext cx="3173" cy="336551"/>
    <xdr:pic>
      <xdr:nvPicPr>
        <xdr:cNvPr id="762" name="Imagem 76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59</xdr:row>
      <xdr:rowOff>0</xdr:rowOff>
    </xdr:from>
    <xdr:ext cx="0" cy="352426"/>
    <xdr:pic>
      <xdr:nvPicPr>
        <xdr:cNvPr id="763" name="Imagem 76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59</xdr:row>
      <xdr:rowOff>0</xdr:rowOff>
    </xdr:from>
    <xdr:ext cx="3173" cy="336551"/>
    <xdr:pic>
      <xdr:nvPicPr>
        <xdr:cNvPr id="764" name="Imagem 76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59</xdr:row>
      <xdr:rowOff>0</xdr:rowOff>
    </xdr:from>
    <xdr:ext cx="0" cy="352426"/>
    <xdr:pic>
      <xdr:nvPicPr>
        <xdr:cNvPr id="765" name="Imagem 76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59</xdr:row>
      <xdr:rowOff>0</xdr:rowOff>
    </xdr:from>
    <xdr:ext cx="3173" cy="336551"/>
    <xdr:pic>
      <xdr:nvPicPr>
        <xdr:cNvPr id="766" name="Imagem 76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59</xdr:row>
      <xdr:rowOff>0</xdr:rowOff>
    </xdr:from>
    <xdr:ext cx="0" cy="352426"/>
    <xdr:pic>
      <xdr:nvPicPr>
        <xdr:cNvPr id="767" name="Imagem 76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59</xdr:row>
      <xdr:rowOff>0</xdr:rowOff>
    </xdr:from>
    <xdr:ext cx="3173" cy="336551"/>
    <xdr:pic>
      <xdr:nvPicPr>
        <xdr:cNvPr id="768" name="Imagem 76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59</xdr:row>
      <xdr:rowOff>0</xdr:rowOff>
    </xdr:from>
    <xdr:ext cx="0" cy="352426"/>
    <xdr:pic>
      <xdr:nvPicPr>
        <xdr:cNvPr id="769" name="Imagem 76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60</xdr:row>
      <xdr:rowOff>0</xdr:rowOff>
    </xdr:from>
    <xdr:ext cx="3173" cy="336551"/>
    <xdr:pic>
      <xdr:nvPicPr>
        <xdr:cNvPr id="770" name="Imagem 76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60</xdr:row>
      <xdr:rowOff>0</xdr:rowOff>
    </xdr:from>
    <xdr:ext cx="0" cy="352426"/>
    <xdr:pic>
      <xdr:nvPicPr>
        <xdr:cNvPr id="771" name="Imagem 77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60</xdr:row>
      <xdr:rowOff>0</xdr:rowOff>
    </xdr:from>
    <xdr:ext cx="3173" cy="336551"/>
    <xdr:pic>
      <xdr:nvPicPr>
        <xdr:cNvPr id="772" name="Imagem 77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60</xdr:row>
      <xdr:rowOff>0</xdr:rowOff>
    </xdr:from>
    <xdr:ext cx="0" cy="352426"/>
    <xdr:pic>
      <xdr:nvPicPr>
        <xdr:cNvPr id="773" name="Imagem 77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60</xdr:row>
      <xdr:rowOff>0</xdr:rowOff>
    </xdr:from>
    <xdr:ext cx="3173" cy="336551"/>
    <xdr:pic>
      <xdr:nvPicPr>
        <xdr:cNvPr id="774" name="Imagem 77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60</xdr:row>
      <xdr:rowOff>0</xdr:rowOff>
    </xdr:from>
    <xdr:ext cx="0" cy="352426"/>
    <xdr:pic>
      <xdr:nvPicPr>
        <xdr:cNvPr id="775" name="Imagem 77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60</xdr:row>
      <xdr:rowOff>0</xdr:rowOff>
    </xdr:from>
    <xdr:ext cx="3173" cy="336551"/>
    <xdr:pic>
      <xdr:nvPicPr>
        <xdr:cNvPr id="776" name="Imagem 77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60</xdr:row>
      <xdr:rowOff>0</xdr:rowOff>
    </xdr:from>
    <xdr:ext cx="0" cy="352426"/>
    <xdr:pic>
      <xdr:nvPicPr>
        <xdr:cNvPr id="777" name="Imagem 77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61</xdr:row>
      <xdr:rowOff>0</xdr:rowOff>
    </xdr:from>
    <xdr:ext cx="3173" cy="336551"/>
    <xdr:pic>
      <xdr:nvPicPr>
        <xdr:cNvPr id="778" name="Imagem 77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61</xdr:row>
      <xdr:rowOff>0</xdr:rowOff>
    </xdr:from>
    <xdr:ext cx="0" cy="352426"/>
    <xdr:pic>
      <xdr:nvPicPr>
        <xdr:cNvPr id="779" name="Imagem 77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61</xdr:row>
      <xdr:rowOff>0</xdr:rowOff>
    </xdr:from>
    <xdr:ext cx="3173" cy="336551"/>
    <xdr:pic>
      <xdr:nvPicPr>
        <xdr:cNvPr id="780" name="Imagem 77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61</xdr:row>
      <xdr:rowOff>0</xdr:rowOff>
    </xdr:from>
    <xdr:ext cx="0" cy="352426"/>
    <xdr:pic>
      <xdr:nvPicPr>
        <xdr:cNvPr id="781" name="Imagem 78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61</xdr:row>
      <xdr:rowOff>0</xdr:rowOff>
    </xdr:from>
    <xdr:ext cx="3173" cy="336551"/>
    <xdr:pic>
      <xdr:nvPicPr>
        <xdr:cNvPr id="782" name="Imagem 78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61</xdr:row>
      <xdr:rowOff>0</xdr:rowOff>
    </xdr:from>
    <xdr:ext cx="0" cy="352426"/>
    <xdr:pic>
      <xdr:nvPicPr>
        <xdr:cNvPr id="783" name="Imagem 78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61</xdr:row>
      <xdr:rowOff>0</xdr:rowOff>
    </xdr:from>
    <xdr:ext cx="3173" cy="336551"/>
    <xdr:pic>
      <xdr:nvPicPr>
        <xdr:cNvPr id="784" name="Imagem 78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61</xdr:row>
      <xdr:rowOff>0</xdr:rowOff>
    </xdr:from>
    <xdr:ext cx="0" cy="352426"/>
    <xdr:pic>
      <xdr:nvPicPr>
        <xdr:cNvPr id="785" name="Imagem 78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62</xdr:row>
      <xdr:rowOff>0</xdr:rowOff>
    </xdr:from>
    <xdr:ext cx="3173" cy="336551"/>
    <xdr:pic>
      <xdr:nvPicPr>
        <xdr:cNvPr id="786" name="Imagem 78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62</xdr:row>
      <xdr:rowOff>0</xdr:rowOff>
    </xdr:from>
    <xdr:ext cx="0" cy="352426"/>
    <xdr:pic>
      <xdr:nvPicPr>
        <xdr:cNvPr id="787" name="Imagem 78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62</xdr:row>
      <xdr:rowOff>0</xdr:rowOff>
    </xdr:from>
    <xdr:ext cx="3173" cy="336551"/>
    <xdr:pic>
      <xdr:nvPicPr>
        <xdr:cNvPr id="788" name="Imagem 78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62</xdr:row>
      <xdr:rowOff>0</xdr:rowOff>
    </xdr:from>
    <xdr:ext cx="0" cy="352426"/>
    <xdr:pic>
      <xdr:nvPicPr>
        <xdr:cNvPr id="789" name="Imagem 78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62</xdr:row>
      <xdr:rowOff>0</xdr:rowOff>
    </xdr:from>
    <xdr:ext cx="3173" cy="336551"/>
    <xdr:pic>
      <xdr:nvPicPr>
        <xdr:cNvPr id="790" name="Imagem 78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62</xdr:row>
      <xdr:rowOff>0</xdr:rowOff>
    </xdr:from>
    <xdr:ext cx="0" cy="352426"/>
    <xdr:pic>
      <xdr:nvPicPr>
        <xdr:cNvPr id="791" name="Imagem 79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62</xdr:row>
      <xdr:rowOff>0</xdr:rowOff>
    </xdr:from>
    <xdr:ext cx="3173" cy="336551"/>
    <xdr:pic>
      <xdr:nvPicPr>
        <xdr:cNvPr id="792" name="Imagem 79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62</xdr:row>
      <xdr:rowOff>0</xdr:rowOff>
    </xdr:from>
    <xdr:ext cx="0" cy="352426"/>
    <xdr:pic>
      <xdr:nvPicPr>
        <xdr:cNvPr id="793" name="Imagem 79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63</xdr:row>
      <xdr:rowOff>0</xdr:rowOff>
    </xdr:from>
    <xdr:ext cx="3173" cy="336551"/>
    <xdr:pic>
      <xdr:nvPicPr>
        <xdr:cNvPr id="794" name="Imagem 79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63</xdr:row>
      <xdr:rowOff>0</xdr:rowOff>
    </xdr:from>
    <xdr:ext cx="0" cy="352426"/>
    <xdr:pic>
      <xdr:nvPicPr>
        <xdr:cNvPr id="795" name="Imagem 79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63</xdr:row>
      <xdr:rowOff>0</xdr:rowOff>
    </xdr:from>
    <xdr:ext cx="3173" cy="336551"/>
    <xdr:pic>
      <xdr:nvPicPr>
        <xdr:cNvPr id="796" name="Imagem 79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63</xdr:row>
      <xdr:rowOff>0</xdr:rowOff>
    </xdr:from>
    <xdr:ext cx="0" cy="352426"/>
    <xdr:pic>
      <xdr:nvPicPr>
        <xdr:cNvPr id="797" name="Imagem 79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63</xdr:row>
      <xdr:rowOff>0</xdr:rowOff>
    </xdr:from>
    <xdr:ext cx="3173" cy="336551"/>
    <xdr:pic>
      <xdr:nvPicPr>
        <xdr:cNvPr id="798" name="Imagem 79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63</xdr:row>
      <xdr:rowOff>0</xdr:rowOff>
    </xdr:from>
    <xdr:ext cx="0" cy="352426"/>
    <xdr:pic>
      <xdr:nvPicPr>
        <xdr:cNvPr id="799" name="Imagem 79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63</xdr:row>
      <xdr:rowOff>0</xdr:rowOff>
    </xdr:from>
    <xdr:ext cx="3173" cy="336551"/>
    <xdr:pic>
      <xdr:nvPicPr>
        <xdr:cNvPr id="800" name="Imagem 79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63</xdr:row>
      <xdr:rowOff>0</xdr:rowOff>
    </xdr:from>
    <xdr:ext cx="0" cy="352426"/>
    <xdr:pic>
      <xdr:nvPicPr>
        <xdr:cNvPr id="801" name="Imagem 80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64</xdr:row>
      <xdr:rowOff>0</xdr:rowOff>
    </xdr:from>
    <xdr:ext cx="3173" cy="336551"/>
    <xdr:pic>
      <xdr:nvPicPr>
        <xdr:cNvPr id="802" name="Imagem 80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64</xdr:row>
      <xdr:rowOff>0</xdr:rowOff>
    </xdr:from>
    <xdr:ext cx="0" cy="352426"/>
    <xdr:pic>
      <xdr:nvPicPr>
        <xdr:cNvPr id="803" name="Imagem 80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64</xdr:row>
      <xdr:rowOff>0</xdr:rowOff>
    </xdr:from>
    <xdr:ext cx="3173" cy="336551"/>
    <xdr:pic>
      <xdr:nvPicPr>
        <xdr:cNvPr id="804" name="Imagem 80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64</xdr:row>
      <xdr:rowOff>0</xdr:rowOff>
    </xdr:from>
    <xdr:ext cx="0" cy="352426"/>
    <xdr:pic>
      <xdr:nvPicPr>
        <xdr:cNvPr id="805" name="Imagem 80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64</xdr:row>
      <xdr:rowOff>0</xdr:rowOff>
    </xdr:from>
    <xdr:ext cx="3173" cy="336551"/>
    <xdr:pic>
      <xdr:nvPicPr>
        <xdr:cNvPr id="806" name="Imagem 80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64</xdr:row>
      <xdr:rowOff>0</xdr:rowOff>
    </xdr:from>
    <xdr:ext cx="0" cy="352426"/>
    <xdr:pic>
      <xdr:nvPicPr>
        <xdr:cNvPr id="807" name="Imagem 80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64</xdr:row>
      <xdr:rowOff>0</xdr:rowOff>
    </xdr:from>
    <xdr:ext cx="3173" cy="336551"/>
    <xdr:pic>
      <xdr:nvPicPr>
        <xdr:cNvPr id="808" name="Imagem 80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64</xdr:row>
      <xdr:rowOff>0</xdr:rowOff>
    </xdr:from>
    <xdr:ext cx="0" cy="352426"/>
    <xdr:pic>
      <xdr:nvPicPr>
        <xdr:cNvPr id="809" name="Imagem 80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65</xdr:row>
      <xdr:rowOff>0</xdr:rowOff>
    </xdr:from>
    <xdr:ext cx="3173" cy="336551"/>
    <xdr:pic>
      <xdr:nvPicPr>
        <xdr:cNvPr id="810" name="Imagem 80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65</xdr:row>
      <xdr:rowOff>0</xdr:rowOff>
    </xdr:from>
    <xdr:ext cx="0" cy="352426"/>
    <xdr:pic>
      <xdr:nvPicPr>
        <xdr:cNvPr id="811" name="Imagem 81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65</xdr:row>
      <xdr:rowOff>0</xdr:rowOff>
    </xdr:from>
    <xdr:ext cx="3173" cy="336551"/>
    <xdr:pic>
      <xdr:nvPicPr>
        <xdr:cNvPr id="812" name="Imagem 81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65</xdr:row>
      <xdr:rowOff>0</xdr:rowOff>
    </xdr:from>
    <xdr:ext cx="0" cy="352426"/>
    <xdr:pic>
      <xdr:nvPicPr>
        <xdr:cNvPr id="813" name="Imagem 81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65</xdr:row>
      <xdr:rowOff>0</xdr:rowOff>
    </xdr:from>
    <xdr:ext cx="3173" cy="336551"/>
    <xdr:pic>
      <xdr:nvPicPr>
        <xdr:cNvPr id="814" name="Imagem 81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65</xdr:row>
      <xdr:rowOff>0</xdr:rowOff>
    </xdr:from>
    <xdr:ext cx="0" cy="352426"/>
    <xdr:pic>
      <xdr:nvPicPr>
        <xdr:cNvPr id="815" name="Imagem 81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65</xdr:row>
      <xdr:rowOff>0</xdr:rowOff>
    </xdr:from>
    <xdr:ext cx="3173" cy="336551"/>
    <xdr:pic>
      <xdr:nvPicPr>
        <xdr:cNvPr id="816" name="Imagem 81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65</xdr:row>
      <xdr:rowOff>0</xdr:rowOff>
    </xdr:from>
    <xdr:ext cx="0" cy="352426"/>
    <xdr:pic>
      <xdr:nvPicPr>
        <xdr:cNvPr id="817" name="Imagem 81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66</xdr:row>
      <xdr:rowOff>0</xdr:rowOff>
    </xdr:from>
    <xdr:ext cx="3173" cy="336551"/>
    <xdr:pic>
      <xdr:nvPicPr>
        <xdr:cNvPr id="818" name="Imagem 81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66</xdr:row>
      <xdr:rowOff>0</xdr:rowOff>
    </xdr:from>
    <xdr:ext cx="0" cy="352426"/>
    <xdr:pic>
      <xdr:nvPicPr>
        <xdr:cNvPr id="819" name="Imagem 81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66</xdr:row>
      <xdr:rowOff>0</xdr:rowOff>
    </xdr:from>
    <xdr:ext cx="3173" cy="336551"/>
    <xdr:pic>
      <xdr:nvPicPr>
        <xdr:cNvPr id="820" name="Imagem 81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66</xdr:row>
      <xdr:rowOff>0</xdr:rowOff>
    </xdr:from>
    <xdr:ext cx="0" cy="352426"/>
    <xdr:pic>
      <xdr:nvPicPr>
        <xdr:cNvPr id="821" name="Imagem 82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66</xdr:row>
      <xdr:rowOff>0</xdr:rowOff>
    </xdr:from>
    <xdr:ext cx="3173" cy="336551"/>
    <xdr:pic>
      <xdr:nvPicPr>
        <xdr:cNvPr id="822" name="Imagem 82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66</xdr:row>
      <xdr:rowOff>0</xdr:rowOff>
    </xdr:from>
    <xdr:ext cx="0" cy="352426"/>
    <xdr:pic>
      <xdr:nvPicPr>
        <xdr:cNvPr id="823" name="Imagem 82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66</xdr:row>
      <xdr:rowOff>0</xdr:rowOff>
    </xdr:from>
    <xdr:ext cx="3173" cy="336551"/>
    <xdr:pic>
      <xdr:nvPicPr>
        <xdr:cNvPr id="824" name="Imagem 82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66</xdr:row>
      <xdr:rowOff>0</xdr:rowOff>
    </xdr:from>
    <xdr:ext cx="0" cy="352426"/>
    <xdr:pic>
      <xdr:nvPicPr>
        <xdr:cNvPr id="825" name="Imagem 82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67</xdr:row>
      <xdr:rowOff>0</xdr:rowOff>
    </xdr:from>
    <xdr:ext cx="3173" cy="336551"/>
    <xdr:pic>
      <xdr:nvPicPr>
        <xdr:cNvPr id="826" name="Imagem 82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67</xdr:row>
      <xdr:rowOff>0</xdr:rowOff>
    </xdr:from>
    <xdr:ext cx="0" cy="352426"/>
    <xdr:pic>
      <xdr:nvPicPr>
        <xdr:cNvPr id="827" name="Imagem 82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67</xdr:row>
      <xdr:rowOff>0</xdr:rowOff>
    </xdr:from>
    <xdr:ext cx="3173" cy="336551"/>
    <xdr:pic>
      <xdr:nvPicPr>
        <xdr:cNvPr id="828" name="Imagem 82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67</xdr:row>
      <xdr:rowOff>0</xdr:rowOff>
    </xdr:from>
    <xdr:ext cx="0" cy="352426"/>
    <xdr:pic>
      <xdr:nvPicPr>
        <xdr:cNvPr id="829" name="Imagem 82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67</xdr:row>
      <xdr:rowOff>0</xdr:rowOff>
    </xdr:from>
    <xdr:ext cx="3173" cy="336551"/>
    <xdr:pic>
      <xdr:nvPicPr>
        <xdr:cNvPr id="830" name="Imagem 82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67</xdr:row>
      <xdr:rowOff>0</xdr:rowOff>
    </xdr:from>
    <xdr:ext cx="0" cy="352426"/>
    <xdr:pic>
      <xdr:nvPicPr>
        <xdr:cNvPr id="831" name="Imagem 83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67</xdr:row>
      <xdr:rowOff>0</xdr:rowOff>
    </xdr:from>
    <xdr:ext cx="3173" cy="336551"/>
    <xdr:pic>
      <xdr:nvPicPr>
        <xdr:cNvPr id="832" name="Imagem 83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67</xdr:row>
      <xdr:rowOff>0</xdr:rowOff>
    </xdr:from>
    <xdr:ext cx="0" cy="352426"/>
    <xdr:pic>
      <xdr:nvPicPr>
        <xdr:cNvPr id="833" name="Imagem 83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68</xdr:row>
      <xdr:rowOff>0</xdr:rowOff>
    </xdr:from>
    <xdr:ext cx="3173" cy="336551"/>
    <xdr:pic>
      <xdr:nvPicPr>
        <xdr:cNvPr id="834" name="Imagem 83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68</xdr:row>
      <xdr:rowOff>0</xdr:rowOff>
    </xdr:from>
    <xdr:ext cx="0" cy="352426"/>
    <xdr:pic>
      <xdr:nvPicPr>
        <xdr:cNvPr id="835" name="Imagem 83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68</xdr:row>
      <xdr:rowOff>0</xdr:rowOff>
    </xdr:from>
    <xdr:ext cx="3173" cy="336551"/>
    <xdr:pic>
      <xdr:nvPicPr>
        <xdr:cNvPr id="836" name="Imagem 83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68</xdr:row>
      <xdr:rowOff>0</xdr:rowOff>
    </xdr:from>
    <xdr:ext cx="0" cy="352426"/>
    <xdr:pic>
      <xdr:nvPicPr>
        <xdr:cNvPr id="837" name="Imagem 83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68</xdr:row>
      <xdr:rowOff>0</xdr:rowOff>
    </xdr:from>
    <xdr:ext cx="3173" cy="336551"/>
    <xdr:pic>
      <xdr:nvPicPr>
        <xdr:cNvPr id="838" name="Imagem 83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68</xdr:row>
      <xdr:rowOff>0</xdr:rowOff>
    </xdr:from>
    <xdr:ext cx="0" cy="352426"/>
    <xdr:pic>
      <xdr:nvPicPr>
        <xdr:cNvPr id="839" name="Imagem 83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68</xdr:row>
      <xdr:rowOff>0</xdr:rowOff>
    </xdr:from>
    <xdr:ext cx="3173" cy="336551"/>
    <xdr:pic>
      <xdr:nvPicPr>
        <xdr:cNvPr id="840" name="Imagem 83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68</xdr:row>
      <xdr:rowOff>0</xdr:rowOff>
    </xdr:from>
    <xdr:ext cx="0" cy="352426"/>
    <xdr:pic>
      <xdr:nvPicPr>
        <xdr:cNvPr id="841" name="Imagem 84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69</xdr:row>
      <xdr:rowOff>0</xdr:rowOff>
    </xdr:from>
    <xdr:ext cx="3173" cy="336551"/>
    <xdr:pic>
      <xdr:nvPicPr>
        <xdr:cNvPr id="842" name="Imagem 84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69</xdr:row>
      <xdr:rowOff>0</xdr:rowOff>
    </xdr:from>
    <xdr:ext cx="0" cy="352426"/>
    <xdr:pic>
      <xdr:nvPicPr>
        <xdr:cNvPr id="843" name="Imagem 84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69</xdr:row>
      <xdr:rowOff>0</xdr:rowOff>
    </xdr:from>
    <xdr:ext cx="3173" cy="336551"/>
    <xdr:pic>
      <xdr:nvPicPr>
        <xdr:cNvPr id="844" name="Imagem 84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69</xdr:row>
      <xdr:rowOff>0</xdr:rowOff>
    </xdr:from>
    <xdr:ext cx="0" cy="352426"/>
    <xdr:pic>
      <xdr:nvPicPr>
        <xdr:cNvPr id="845" name="Imagem 84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69</xdr:row>
      <xdr:rowOff>0</xdr:rowOff>
    </xdr:from>
    <xdr:ext cx="3173" cy="336551"/>
    <xdr:pic>
      <xdr:nvPicPr>
        <xdr:cNvPr id="846" name="Imagem 84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69</xdr:row>
      <xdr:rowOff>0</xdr:rowOff>
    </xdr:from>
    <xdr:ext cx="0" cy="352426"/>
    <xdr:pic>
      <xdr:nvPicPr>
        <xdr:cNvPr id="847" name="Imagem 84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69</xdr:row>
      <xdr:rowOff>0</xdr:rowOff>
    </xdr:from>
    <xdr:ext cx="3173" cy="336551"/>
    <xdr:pic>
      <xdr:nvPicPr>
        <xdr:cNvPr id="848" name="Imagem 84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69</xdr:row>
      <xdr:rowOff>0</xdr:rowOff>
    </xdr:from>
    <xdr:ext cx="0" cy="352426"/>
    <xdr:pic>
      <xdr:nvPicPr>
        <xdr:cNvPr id="849" name="Imagem 84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70</xdr:row>
      <xdr:rowOff>0</xdr:rowOff>
    </xdr:from>
    <xdr:ext cx="3173" cy="336551"/>
    <xdr:pic>
      <xdr:nvPicPr>
        <xdr:cNvPr id="850" name="Imagem 84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70</xdr:row>
      <xdr:rowOff>0</xdr:rowOff>
    </xdr:from>
    <xdr:ext cx="0" cy="352426"/>
    <xdr:pic>
      <xdr:nvPicPr>
        <xdr:cNvPr id="851" name="Imagem 85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70</xdr:row>
      <xdr:rowOff>0</xdr:rowOff>
    </xdr:from>
    <xdr:ext cx="3173" cy="336551"/>
    <xdr:pic>
      <xdr:nvPicPr>
        <xdr:cNvPr id="852" name="Imagem 85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70</xdr:row>
      <xdr:rowOff>0</xdr:rowOff>
    </xdr:from>
    <xdr:ext cx="0" cy="352426"/>
    <xdr:pic>
      <xdr:nvPicPr>
        <xdr:cNvPr id="853" name="Imagem 85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70</xdr:row>
      <xdr:rowOff>0</xdr:rowOff>
    </xdr:from>
    <xdr:ext cx="3173" cy="336551"/>
    <xdr:pic>
      <xdr:nvPicPr>
        <xdr:cNvPr id="854" name="Imagem 85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70</xdr:row>
      <xdr:rowOff>0</xdr:rowOff>
    </xdr:from>
    <xdr:ext cx="0" cy="352426"/>
    <xdr:pic>
      <xdr:nvPicPr>
        <xdr:cNvPr id="855" name="Imagem 85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70</xdr:row>
      <xdr:rowOff>0</xdr:rowOff>
    </xdr:from>
    <xdr:ext cx="3173" cy="336551"/>
    <xdr:pic>
      <xdr:nvPicPr>
        <xdr:cNvPr id="856" name="Imagem 85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70</xdr:row>
      <xdr:rowOff>0</xdr:rowOff>
    </xdr:from>
    <xdr:ext cx="0" cy="352426"/>
    <xdr:pic>
      <xdr:nvPicPr>
        <xdr:cNvPr id="857" name="Imagem 85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71</xdr:row>
      <xdr:rowOff>0</xdr:rowOff>
    </xdr:from>
    <xdr:ext cx="3173" cy="336551"/>
    <xdr:pic>
      <xdr:nvPicPr>
        <xdr:cNvPr id="858" name="Imagem 85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71</xdr:row>
      <xdr:rowOff>0</xdr:rowOff>
    </xdr:from>
    <xdr:ext cx="0" cy="352426"/>
    <xdr:pic>
      <xdr:nvPicPr>
        <xdr:cNvPr id="859" name="Imagem 85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71</xdr:row>
      <xdr:rowOff>0</xdr:rowOff>
    </xdr:from>
    <xdr:ext cx="3173" cy="336551"/>
    <xdr:pic>
      <xdr:nvPicPr>
        <xdr:cNvPr id="860" name="Imagem 85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71</xdr:row>
      <xdr:rowOff>0</xdr:rowOff>
    </xdr:from>
    <xdr:ext cx="0" cy="352426"/>
    <xdr:pic>
      <xdr:nvPicPr>
        <xdr:cNvPr id="861" name="Imagem 86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71</xdr:row>
      <xdr:rowOff>0</xdr:rowOff>
    </xdr:from>
    <xdr:ext cx="3173" cy="336551"/>
    <xdr:pic>
      <xdr:nvPicPr>
        <xdr:cNvPr id="862" name="Imagem 86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71</xdr:row>
      <xdr:rowOff>0</xdr:rowOff>
    </xdr:from>
    <xdr:ext cx="0" cy="352426"/>
    <xdr:pic>
      <xdr:nvPicPr>
        <xdr:cNvPr id="863" name="Imagem 86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71</xdr:row>
      <xdr:rowOff>0</xdr:rowOff>
    </xdr:from>
    <xdr:ext cx="3173" cy="336551"/>
    <xdr:pic>
      <xdr:nvPicPr>
        <xdr:cNvPr id="864" name="Imagem 86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71</xdr:row>
      <xdr:rowOff>0</xdr:rowOff>
    </xdr:from>
    <xdr:ext cx="0" cy="352426"/>
    <xdr:pic>
      <xdr:nvPicPr>
        <xdr:cNvPr id="865" name="Imagem 86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72</xdr:row>
      <xdr:rowOff>0</xdr:rowOff>
    </xdr:from>
    <xdr:ext cx="3173" cy="336551"/>
    <xdr:pic>
      <xdr:nvPicPr>
        <xdr:cNvPr id="866" name="Imagem 86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72</xdr:row>
      <xdr:rowOff>0</xdr:rowOff>
    </xdr:from>
    <xdr:ext cx="0" cy="352426"/>
    <xdr:pic>
      <xdr:nvPicPr>
        <xdr:cNvPr id="867" name="Imagem 86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72</xdr:row>
      <xdr:rowOff>0</xdr:rowOff>
    </xdr:from>
    <xdr:ext cx="3173" cy="336551"/>
    <xdr:pic>
      <xdr:nvPicPr>
        <xdr:cNvPr id="868" name="Imagem 86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72</xdr:row>
      <xdr:rowOff>0</xdr:rowOff>
    </xdr:from>
    <xdr:ext cx="0" cy="352426"/>
    <xdr:pic>
      <xdr:nvPicPr>
        <xdr:cNvPr id="869" name="Imagem 86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72</xdr:row>
      <xdr:rowOff>0</xdr:rowOff>
    </xdr:from>
    <xdr:ext cx="3173" cy="336551"/>
    <xdr:pic>
      <xdr:nvPicPr>
        <xdr:cNvPr id="870" name="Imagem 86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72</xdr:row>
      <xdr:rowOff>0</xdr:rowOff>
    </xdr:from>
    <xdr:ext cx="0" cy="352426"/>
    <xdr:pic>
      <xdr:nvPicPr>
        <xdr:cNvPr id="871" name="Imagem 87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72</xdr:row>
      <xdr:rowOff>0</xdr:rowOff>
    </xdr:from>
    <xdr:ext cx="3173" cy="336551"/>
    <xdr:pic>
      <xdr:nvPicPr>
        <xdr:cNvPr id="872" name="Imagem 87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72</xdr:row>
      <xdr:rowOff>0</xdr:rowOff>
    </xdr:from>
    <xdr:ext cx="0" cy="352426"/>
    <xdr:pic>
      <xdr:nvPicPr>
        <xdr:cNvPr id="873" name="Imagem 87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73</xdr:row>
      <xdr:rowOff>0</xdr:rowOff>
    </xdr:from>
    <xdr:ext cx="3173" cy="336551"/>
    <xdr:pic>
      <xdr:nvPicPr>
        <xdr:cNvPr id="874" name="Imagem 87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73</xdr:row>
      <xdr:rowOff>0</xdr:rowOff>
    </xdr:from>
    <xdr:ext cx="0" cy="352426"/>
    <xdr:pic>
      <xdr:nvPicPr>
        <xdr:cNvPr id="875" name="Imagem 87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73</xdr:row>
      <xdr:rowOff>0</xdr:rowOff>
    </xdr:from>
    <xdr:ext cx="3173" cy="336551"/>
    <xdr:pic>
      <xdr:nvPicPr>
        <xdr:cNvPr id="876" name="Imagem 87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73</xdr:row>
      <xdr:rowOff>0</xdr:rowOff>
    </xdr:from>
    <xdr:ext cx="0" cy="352426"/>
    <xdr:pic>
      <xdr:nvPicPr>
        <xdr:cNvPr id="877" name="Imagem 87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73</xdr:row>
      <xdr:rowOff>0</xdr:rowOff>
    </xdr:from>
    <xdr:ext cx="3173" cy="336551"/>
    <xdr:pic>
      <xdr:nvPicPr>
        <xdr:cNvPr id="878" name="Imagem 87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73</xdr:row>
      <xdr:rowOff>0</xdr:rowOff>
    </xdr:from>
    <xdr:ext cx="0" cy="352426"/>
    <xdr:pic>
      <xdr:nvPicPr>
        <xdr:cNvPr id="879" name="Imagem 87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73</xdr:row>
      <xdr:rowOff>0</xdr:rowOff>
    </xdr:from>
    <xdr:ext cx="3173" cy="336551"/>
    <xdr:pic>
      <xdr:nvPicPr>
        <xdr:cNvPr id="880" name="Imagem 87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73</xdr:row>
      <xdr:rowOff>0</xdr:rowOff>
    </xdr:from>
    <xdr:ext cx="0" cy="352426"/>
    <xdr:pic>
      <xdr:nvPicPr>
        <xdr:cNvPr id="881" name="Imagem 88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74</xdr:row>
      <xdr:rowOff>0</xdr:rowOff>
    </xdr:from>
    <xdr:ext cx="3173" cy="336551"/>
    <xdr:pic>
      <xdr:nvPicPr>
        <xdr:cNvPr id="882" name="Imagem 88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74</xdr:row>
      <xdr:rowOff>0</xdr:rowOff>
    </xdr:from>
    <xdr:ext cx="0" cy="352426"/>
    <xdr:pic>
      <xdr:nvPicPr>
        <xdr:cNvPr id="883" name="Imagem 88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74</xdr:row>
      <xdr:rowOff>0</xdr:rowOff>
    </xdr:from>
    <xdr:ext cx="3173" cy="336551"/>
    <xdr:pic>
      <xdr:nvPicPr>
        <xdr:cNvPr id="884" name="Imagem 88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74</xdr:row>
      <xdr:rowOff>0</xdr:rowOff>
    </xdr:from>
    <xdr:ext cx="0" cy="352426"/>
    <xdr:pic>
      <xdr:nvPicPr>
        <xdr:cNvPr id="885" name="Imagem 88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74</xdr:row>
      <xdr:rowOff>0</xdr:rowOff>
    </xdr:from>
    <xdr:ext cx="3173" cy="336551"/>
    <xdr:pic>
      <xdr:nvPicPr>
        <xdr:cNvPr id="886" name="Imagem 88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74</xdr:row>
      <xdr:rowOff>0</xdr:rowOff>
    </xdr:from>
    <xdr:ext cx="0" cy="352426"/>
    <xdr:pic>
      <xdr:nvPicPr>
        <xdr:cNvPr id="887" name="Imagem 886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74</xdr:row>
      <xdr:rowOff>0</xdr:rowOff>
    </xdr:from>
    <xdr:ext cx="3173" cy="336551"/>
    <xdr:pic>
      <xdr:nvPicPr>
        <xdr:cNvPr id="888" name="Imagem 887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3530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74</xdr:row>
      <xdr:rowOff>0</xdr:rowOff>
    </xdr:from>
    <xdr:ext cx="0" cy="352426"/>
    <xdr:pic>
      <xdr:nvPicPr>
        <xdr:cNvPr id="889" name="Imagem 88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3530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75</xdr:row>
      <xdr:rowOff>0</xdr:rowOff>
    </xdr:from>
    <xdr:ext cx="3173" cy="336551"/>
    <xdr:pic>
      <xdr:nvPicPr>
        <xdr:cNvPr id="890" name="Imagem 889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75</xdr:row>
      <xdr:rowOff>0</xdr:rowOff>
    </xdr:from>
    <xdr:ext cx="0" cy="352426"/>
    <xdr:pic>
      <xdr:nvPicPr>
        <xdr:cNvPr id="891" name="Imagem 890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75</xdr:row>
      <xdr:rowOff>0</xdr:rowOff>
    </xdr:from>
    <xdr:ext cx="3173" cy="336551"/>
    <xdr:pic>
      <xdr:nvPicPr>
        <xdr:cNvPr id="892" name="Imagem 891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75</xdr:row>
      <xdr:rowOff>0</xdr:rowOff>
    </xdr:from>
    <xdr:ext cx="0" cy="352426"/>
    <xdr:pic>
      <xdr:nvPicPr>
        <xdr:cNvPr id="893" name="Imagem 89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  <xdr:oneCellAnchor>
    <xdr:from>
      <xdr:col>1</xdr:col>
      <xdr:colOff>1416052</xdr:colOff>
      <xdr:row>75</xdr:row>
      <xdr:rowOff>0</xdr:rowOff>
    </xdr:from>
    <xdr:ext cx="3173" cy="336551"/>
    <xdr:pic>
      <xdr:nvPicPr>
        <xdr:cNvPr id="894" name="Imagem 89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652" y="5543550"/>
          <a:ext cx="3173" cy="336551"/>
        </a:xfrm>
        <a:prstGeom prst="rect">
          <a:avLst/>
        </a:prstGeom>
      </xdr:spPr>
    </xdr:pic>
    <xdr:clientData/>
  </xdr:oneCellAnchor>
  <xdr:oneCellAnchor>
    <xdr:from>
      <xdr:col>1</xdr:col>
      <xdr:colOff>2076450</xdr:colOff>
      <xdr:row>75</xdr:row>
      <xdr:rowOff>0</xdr:rowOff>
    </xdr:from>
    <xdr:ext cx="0" cy="352426"/>
    <xdr:pic>
      <xdr:nvPicPr>
        <xdr:cNvPr id="895" name="Imagem 894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5543550"/>
          <a:ext cx="0" cy="3524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K164"/>
  <sheetViews>
    <sheetView topLeftCell="A10" zoomScale="90" zoomScaleNormal="90" workbookViewId="0">
      <selection activeCell="A19" sqref="A19:H19"/>
    </sheetView>
  </sheetViews>
  <sheetFormatPr defaultRowHeight="15" x14ac:dyDescent="0.25"/>
  <cols>
    <col min="1" max="1" width="9.140625" style="5" customWidth="1"/>
    <col min="2" max="2" width="43.140625" style="5" customWidth="1"/>
    <col min="3" max="3" width="6.5703125" style="1" customWidth="1"/>
    <col min="4" max="4" width="8.42578125" style="1" customWidth="1"/>
    <col min="5" max="5" width="6.42578125" style="1" customWidth="1"/>
    <col min="6" max="6" width="29.5703125" style="1" customWidth="1"/>
    <col min="7" max="7" width="19.42578125" style="1" customWidth="1"/>
    <col min="8" max="8" width="24.140625" style="5" customWidth="1"/>
    <col min="9" max="16384" width="9.140625" style="5"/>
  </cols>
  <sheetData>
    <row r="1" spans="1:11" ht="15" customHeight="1" x14ac:dyDescent="0.25">
      <c r="A1" s="198" t="s">
        <v>0</v>
      </c>
      <c r="B1" s="198"/>
      <c r="C1" s="198"/>
      <c r="D1" s="198"/>
      <c r="E1" s="198"/>
      <c r="F1" s="198"/>
      <c r="G1" s="198"/>
      <c r="H1" s="198"/>
    </row>
    <row r="2" spans="1:11" ht="15" customHeight="1" x14ac:dyDescent="0.25">
      <c r="A2" s="198"/>
      <c r="B2" s="198"/>
      <c r="C2" s="198"/>
      <c r="D2" s="198"/>
      <c r="E2" s="198"/>
      <c r="F2" s="198"/>
      <c r="G2" s="198"/>
      <c r="H2" s="198"/>
    </row>
    <row r="3" spans="1:11" ht="56.25" customHeight="1" x14ac:dyDescent="0.25">
      <c r="A3" s="198"/>
      <c r="B3" s="198"/>
      <c r="C3" s="198"/>
      <c r="D3" s="198"/>
      <c r="E3" s="198"/>
      <c r="F3" s="198"/>
      <c r="G3" s="198"/>
      <c r="H3" s="198"/>
    </row>
    <row r="4" spans="1:11" ht="24" thickBot="1" x14ac:dyDescent="0.3">
      <c r="A4" s="199" t="s">
        <v>331</v>
      </c>
      <c r="B4" s="199"/>
      <c r="C4" s="199"/>
      <c r="D4" s="199"/>
      <c r="E4" s="199"/>
      <c r="F4" s="199"/>
      <c r="G4" s="199"/>
      <c r="H4" s="199"/>
      <c r="I4" s="6"/>
    </row>
    <row r="5" spans="1:11" ht="23.25" x14ac:dyDescent="0.25">
      <c r="A5" s="180"/>
      <c r="B5" s="181"/>
      <c r="C5" s="181"/>
      <c r="D5" s="181"/>
      <c r="E5" s="181"/>
      <c r="F5" s="181"/>
      <c r="G5" s="181"/>
      <c r="H5" s="182"/>
      <c r="I5" s="6"/>
    </row>
    <row r="6" spans="1:11" ht="24.95" customHeight="1" x14ac:dyDescent="0.25">
      <c r="A6" s="187" t="str">
        <f>A1</f>
        <v xml:space="preserve">Mapa do Lactário </v>
      </c>
      <c r="B6" s="188"/>
      <c r="C6" s="188"/>
      <c r="D6" s="188"/>
      <c r="E6" s="188"/>
      <c r="F6" s="77">
        <v>0</v>
      </c>
      <c r="G6" s="189" t="str">
        <f>A4</f>
        <v xml:space="preserve">DATA : 10/10/2019   </v>
      </c>
      <c r="H6" s="190"/>
    </row>
    <row r="7" spans="1:11" s="1" customFormat="1" ht="24.95" customHeight="1" x14ac:dyDescent="0.25">
      <c r="A7" s="155" t="s">
        <v>2</v>
      </c>
      <c r="B7" s="156" t="s">
        <v>3</v>
      </c>
      <c r="C7" s="156" t="s">
        <v>9</v>
      </c>
      <c r="D7" s="14" t="s">
        <v>57</v>
      </c>
      <c r="E7" s="156" t="s">
        <v>1</v>
      </c>
      <c r="F7" s="156" t="s">
        <v>6</v>
      </c>
      <c r="G7" s="156" t="s">
        <v>122</v>
      </c>
      <c r="H7" s="2" t="s">
        <v>7</v>
      </c>
    </row>
    <row r="8" spans="1:11" ht="24.95" customHeight="1" x14ac:dyDescent="0.25">
      <c r="A8" s="3">
        <v>4001</v>
      </c>
      <c r="B8" s="124" t="s">
        <v>235</v>
      </c>
      <c r="C8" s="125" t="s">
        <v>56</v>
      </c>
      <c r="D8" s="124">
        <v>120</v>
      </c>
      <c r="E8" s="124"/>
      <c r="F8" s="124" t="s">
        <v>275</v>
      </c>
      <c r="G8" s="125" t="s">
        <v>151</v>
      </c>
      <c r="H8" s="13" t="s">
        <v>278</v>
      </c>
    </row>
    <row r="9" spans="1:11" ht="24.95" customHeight="1" x14ac:dyDescent="0.25">
      <c r="A9" s="3">
        <v>4002</v>
      </c>
      <c r="B9" s="124" t="s">
        <v>303</v>
      </c>
      <c r="C9" s="124" t="s">
        <v>56</v>
      </c>
      <c r="D9" s="124">
        <v>90</v>
      </c>
      <c r="E9" s="124"/>
      <c r="F9" s="125" t="s">
        <v>240</v>
      </c>
      <c r="G9" s="125" t="s">
        <v>151</v>
      </c>
      <c r="H9" s="13" t="s">
        <v>278</v>
      </c>
    </row>
    <row r="10" spans="1:11" ht="24.95" customHeight="1" x14ac:dyDescent="0.25">
      <c r="A10" s="3">
        <v>4003</v>
      </c>
      <c r="B10" s="136" t="s">
        <v>289</v>
      </c>
      <c r="C10" s="124" t="s">
        <v>59</v>
      </c>
      <c r="D10" s="124">
        <v>240</v>
      </c>
      <c r="E10" s="124"/>
      <c r="F10" s="124" t="s">
        <v>321</v>
      </c>
      <c r="G10" s="125" t="s">
        <v>305</v>
      </c>
      <c r="H10" s="13"/>
    </row>
    <row r="11" spans="1:11" ht="24.95" customHeight="1" x14ac:dyDescent="0.25">
      <c r="A11" s="3">
        <v>4004</v>
      </c>
      <c r="B11" s="124" t="s">
        <v>290</v>
      </c>
      <c r="C11" s="124" t="s">
        <v>56</v>
      </c>
      <c r="D11" s="124">
        <v>60</v>
      </c>
      <c r="E11" s="124"/>
      <c r="F11" s="124" t="s">
        <v>282</v>
      </c>
      <c r="G11" s="125" t="s">
        <v>151</v>
      </c>
      <c r="H11" s="13" t="s">
        <v>278</v>
      </c>
    </row>
    <row r="12" spans="1:11" ht="25.5" customHeight="1" x14ac:dyDescent="0.25">
      <c r="A12" s="3">
        <v>4005</v>
      </c>
      <c r="B12" s="124" t="s">
        <v>236</v>
      </c>
      <c r="C12" s="124" t="s">
        <v>56</v>
      </c>
      <c r="D12" s="124">
        <v>70</v>
      </c>
      <c r="E12" s="124"/>
      <c r="F12" s="124" t="s">
        <v>58</v>
      </c>
      <c r="G12" s="125" t="s">
        <v>151</v>
      </c>
      <c r="H12" s="13" t="s">
        <v>278</v>
      </c>
    </row>
    <row r="13" spans="1:11" ht="24.95" customHeight="1" x14ac:dyDescent="0.25">
      <c r="A13" s="3">
        <v>4006</v>
      </c>
      <c r="B13" s="136"/>
      <c r="C13" s="124"/>
      <c r="D13" s="124"/>
      <c r="E13" s="124"/>
      <c r="F13" s="124"/>
      <c r="G13" s="125"/>
      <c r="H13" s="13"/>
    </row>
    <row r="14" spans="1:11" ht="24.95" customHeight="1" x14ac:dyDescent="0.25">
      <c r="A14" s="3">
        <v>4007</v>
      </c>
      <c r="B14" s="136"/>
      <c r="C14" s="124"/>
      <c r="D14" s="124"/>
      <c r="E14" s="124"/>
      <c r="F14" s="124"/>
      <c r="G14" s="125"/>
      <c r="H14" s="13"/>
    </row>
    <row r="15" spans="1:11" ht="24.95" customHeight="1" x14ac:dyDescent="0.25">
      <c r="A15" s="3">
        <v>4008</v>
      </c>
      <c r="B15" s="124" t="s">
        <v>291</v>
      </c>
      <c r="C15" s="125" t="s">
        <v>56</v>
      </c>
      <c r="D15" s="124">
        <v>100</v>
      </c>
      <c r="E15" s="124" t="s">
        <v>146</v>
      </c>
      <c r="F15" s="124" t="s">
        <v>240</v>
      </c>
      <c r="G15" s="125" t="s">
        <v>151</v>
      </c>
      <c r="H15" s="13" t="s">
        <v>278</v>
      </c>
    </row>
    <row r="16" spans="1:11" ht="24.95" customHeight="1" x14ac:dyDescent="0.25">
      <c r="A16" s="3">
        <v>4009</v>
      </c>
      <c r="B16" s="124"/>
      <c r="C16" s="124"/>
      <c r="D16" s="124"/>
      <c r="E16" s="124"/>
      <c r="F16" s="124"/>
      <c r="G16" s="125"/>
      <c r="H16" s="13"/>
      <c r="K16" s="5" t="s">
        <v>198</v>
      </c>
    </row>
    <row r="17" spans="1:8" ht="24.95" customHeight="1" thickBot="1" x14ac:dyDescent="0.3">
      <c r="A17" s="7">
        <v>4010</v>
      </c>
      <c r="B17" s="144" t="s">
        <v>237</v>
      </c>
      <c r="C17" s="152" t="s">
        <v>56</v>
      </c>
      <c r="D17" s="144">
        <v>140</v>
      </c>
      <c r="E17" s="144"/>
      <c r="F17" s="13" t="s">
        <v>307</v>
      </c>
      <c r="G17" s="152" t="s">
        <v>151</v>
      </c>
      <c r="H17" s="30" t="s">
        <v>278</v>
      </c>
    </row>
    <row r="18" spans="1:8" ht="15.75" thickBot="1" x14ac:dyDescent="0.3"/>
    <row r="19" spans="1:8" ht="24.75" customHeight="1" x14ac:dyDescent="0.25">
      <c r="A19" s="180" t="s">
        <v>52</v>
      </c>
      <c r="B19" s="181"/>
      <c r="C19" s="181"/>
      <c r="D19" s="181"/>
      <c r="E19" s="181"/>
      <c r="F19" s="181"/>
      <c r="G19" s="181"/>
      <c r="H19" s="182"/>
    </row>
    <row r="20" spans="1:8" ht="24.95" customHeight="1" x14ac:dyDescent="0.25">
      <c r="A20" s="187"/>
      <c r="B20" s="188"/>
      <c r="C20" s="188"/>
      <c r="D20" s="188"/>
      <c r="E20" s="188"/>
      <c r="F20" s="77" t="s">
        <v>8</v>
      </c>
      <c r="G20" s="189" t="str">
        <f>A4</f>
        <v xml:space="preserve">DATA : 10/10/2019   </v>
      </c>
      <c r="H20" s="190"/>
    </row>
    <row r="21" spans="1:8" ht="24.95" customHeight="1" x14ac:dyDescent="0.25">
      <c r="A21" s="138" t="s">
        <v>2</v>
      </c>
      <c r="B21" s="137" t="s">
        <v>3</v>
      </c>
      <c r="C21" s="137" t="s">
        <v>9</v>
      </c>
      <c r="D21" s="137" t="s">
        <v>4</v>
      </c>
      <c r="E21" s="137" t="s">
        <v>1</v>
      </c>
      <c r="F21" s="137" t="s">
        <v>6</v>
      </c>
      <c r="G21" s="137" t="s">
        <v>5</v>
      </c>
      <c r="H21" s="2" t="s">
        <v>7</v>
      </c>
    </row>
    <row r="22" spans="1:8" ht="36.75" customHeight="1" x14ac:dyDescent="0.25">
      <c r="A22" s="3" t="s">
        <v>10</v>
      </c>
      <c r="B22" s="124" t="s">
        <v>306</v>
      </c>
      <c r="C22" s="124" t="s">
        <v>59</v>
      </c>
      <c r="D22" s="124">
        <v>240</v>
      </c>
      <c r="E22" s="124"/>
      <c r="F22" s="124" t="s">
        <v>300</v>
      </c>
      <c r="G22" s="125" t="s">
        <v>304</v>
      </c>
      <c r="H22" s="13"/>
    </row>
    <row r="23" spans="1:8" ht="24.95" customHeight="1" x14ac:dyDescent="0.25">
      <c r="A23" s="3" t="s">
        <v>11</v>
      </c>
      <c r="B23" s="136"/>
      <c r="C23" s="124"/>
      <c r="D23" s="124"/>
      <c r="E23" s="124"/>
      <c r="F23" s="124"/>
      <c r="G23" s="125"/>
      <c r="H23" s="13"/>
    </row>
    <row r="24" spans="1:8" ht="24.95" customHeight="1" x14ac:dyDescent="0.25">
      <c r="A24" s="3" t="s">
        <v>12</v>
      </c>
      <c r="B24" s="124"/>
      <c r="C24" s="124"/>
      <c r="D24" s="124"/>
      <c r="E24" s="124"/>
      <c r="F24" s="124"/>
      <c r="G24" s="12"/>
      <c r="H24" s="150"/>
    </row>
    <row r="25" spans="1:8" ht="24.95" customHeight="1" x14ac:dyDescent="0.25">
      <c r="A25" s="3" t="s">
        <v>13</v>
      </c>
      <c r="B25" s="124"/>
      <c r="C25" s="124"/>
      <c r="D25" s="124"/>
      <c r="E25" s="124"/>
      <c r="F25" s="171"/>
      <c r="G25" s="125"/>
      <c r="H25" s="13"/>
    </row>
    <row r="26" spans="1:8" ht="24.95" customHeight="1" x14ac:dyDescent="0.25">
      <c r="A26" s="3" t="s">
        <v>14</v>
      </c>
      <c r="B26" s="136" t="s">
        <v>234</v>
      </c>
      <c r="C26" s="124" t="s">
        <v>59</v>
      </c>
      <c r="D26" s="124">
        <v>200</v>
      </c>
      <c r="E26" s="124"/>
      <c r="F26" s="124" t="s">
        <v>238</v>
      </c>
      <c r="G26" s="125" t="s">
        <v>292</v>
      </c>
      <c r="H26" s="150"/>
    </row>
    <row r="27" spans="1:8" ht="24.95" customHeight="1" x14ac:dyDescent="0.25">
      <c r="A27" s="3" t="s">
        <v>15</v>
      </c>
      <c r="B27" s="124"/>
      <c r="C27" s="124"/>
      <c r="D27" s="124"/>
      <c r="E27" s="124"/>
      <c r="F27" s="12"/>
      <c r="G27" s="173"/>
      <c r="H27" s="172"/>
    </row>
    <row r="28" spans="1:8" ht="24.95" customHeight="1" x14ac:dyDescent="0.25">
      <c r="A28" s="3" t="s">
        <v>16</v>
      </c>
      <c r="B28" s="124"/>
      <c r="C28" s="124"/>
      <c r="D28" s="124"/>
      <c r="E28" s="124"/>
      <c r="F28" s="124"/>
      <c r="G28" s="125"/>
      <c r="H28" s="13"/>
    </row>
    <row r="29" spans="1:8" ht="24.95" customHeight="1" x14ac:dyDescent="0.25">
      <c r="A29" s="3" t="s">
        <v>17</v>
      </c>
      <c r="B29" s="124"/>
      <c r="C29" s="124"/>
      <c r="D29" s="124"/>
      <c r="E29" s="124"/>
      <c r="F29" s="124"/>
      <c r="G29" s="125"/>
      <c r="H29" s="13"/>
    </row>
    <row r="30" spans="1:8" ht="24.95" customHeight="1" thickBot="1" x14ac:dyDescent="0.3">
      <c r="A30" s="3" t="s">
        <v>18</v>
      </c>
      <c r="B30" s="124"/>
      <c r="C30" s="124"/>
      <c r="D30" s="124"/>
      <c r="E30" s="124"/>
      <c r="F30" s="124"/>
      <c r="G30" s="125"/>
      <c r="H30" s="30"/>
    </row>
    <row r="31" spans="1:8" ht="24.95" customHeight="1" thickBot="1" x14ac:dyDescent="0.3">
      <c r="A31" s="3" t="s">
        <v>19</v>
      </c>
      <c r="B31" s="124"/>
      <c r="C31" s="124"/>
      <c r="D31" s="124"/>
      <c r="E31" s="124"/>
      <c r="F31" s="124"/>
      <c r="G31" s="125"/>
      <c r="H31" s="30"/>
    </row>
    <row r="32" spans="1:8" ht="24.95" customHeight="1" x14ac:dyDescent="0.25">
      <c r="A32" s="3" t="s">
        <v>20</v>
      </c>
      <c r="B32" s="124"/>
      <c r="C32" s="124"/>
      <c r="D32" s="124"/>
      <c r="E32" s="124"/>
      <c r="F32" s="11"/>
      <c r="G32" s="125"/>
      <c r="H32" s="13"/>
    </row>
    <row r="33" spans="1:9" ht="24.95" customHeight="1" x14ac:dyDescent="0.25">
      <c r="A33" s="3" t="s">
        <v>21</v>
      </c>
      <c r="B33" s="162"/>
      <c r="C33" s="124"/>
      <c r="D33" s="124"/>
      <c r="E33" s="124"/>
      <c r="F33" s="124"/>
      <c r="G33" s="12"/>
      <c r="H33" s="13"/>
    </row>
    <row r="34" spans="1:9" ht="24.95" customHeight="1" x14ac:dyDescent="0.25">
      <c r="A34" s="3" t="s">
        <v>22</v>
      </c>
      <c r="B34" s="136"/>
      <c r="C34" s="124"/>
      <c r="D34" s="124"/>
      <c r="E34" s="124"/>
      <c r="F34" s="124"/>
      <c r="G34" s="125"/>
      <c r="H34" s="150"/>
    </row>
    <row r="35" spans="1:9" ht="24.95" customHeight="1" x14ac:dyDescent="0.25">
      <c r="A35" s="3" t="s">
        <v>23</v>
      </c>
      <c r="B35" s="124"/>
      <c r="C35" s="124"/>
      <c r="D35" s="124"/>
      <c r="E35" s="124"/>
      <c r="F35" s="124"/>
      <c r="G35" s="125"/>
      <c r="H35" s="13"/>
    </row>
    <row r="36" spans="1:9" ht="24.95" customHeight="1" x14ac:dyDescent="0.25">
      <c r="A36" s="3" t="s">
        <v>24</v>
      </c>
      <c r="B36" s="124"/>
      <c r="C36" s="125"/>
      <c r="D36" s="124"/>
      <c r="E36" s="124"/>
      <c r="F36" s="124"/>
      <c r="G36" s="125"/>
      <c r="H36" s="13"/>
    </row>
    <row r="37" spans="1:9" ht="24.95" customHeight="1" x14ac:dyDescent="0.25">
      <c r="A37" s="3" t="s">
        <v>25</v>
      </c>
      <c r="B37" s="124" t="s">
        <v>334</v>
      </c>
      <c r="C37" s="124" t="s">
        <v>59</v>
      </c>
      <c r="D37" s="124">
        <v>240</v>
      </c>
      <c r="E37" s="124"/>
      <c r="F37" s="125" t="s">
        <v>332</v>
      </c>
      <c r="G37" s="125" t="s">
        <v>333</v>
      </c>
      <c r="H37" s="13"/>
    </row>
    <row r="38" spans="1:9" ht="24.95" customHeight="1" x14ac:dyDescent="0.25">
      <c r="A38" s="3" t="s">
        <v>26</v>
      </c>
      <c r="B38" s="124"/>
      <c r="C38" s="178"/>
      <c r="D38" s="124"/>
      <c r="E38" s="124"/>
      <c r="F38" s="124"/>
      <c r="G38" s="125"/>
      <c r="H38" s="13"/>
    </row>
    <row r="39" spans="1:9" ht="24.95" customHeight="1" x14ac:dyDescent="0.25">
      <c r="A39" s="3" t="s">
        <v>27</v>
      </c>
      <c r="B39" s="124"/>
      <c r="C39" s="125"/>
      <c r="D39" s="124"/>
      <c r="E39" s="124"/>
      <c r="F39" s="124"/>
      <c r="G39" s="125"/>
      <c r="H39" s="13"/>
    </row>
    <row r="40" spans="1:9" ht="24.95" customHeight="1" thickBot="1" x14ac:dyDescent="0.3">
      <c r="A40" s="3" t="s">
        <v>28</v>
      </c>
      <c r="B40" s="144"/>
      <c r="C40" s="144"/>
      <c r="D40" s="144"/>
      <c r="E40" s="144"/>
      <c r="F40" s="144"/>
      <c r="G40" s="125"/>
      <c r="H40" s="153"/>
    </row>
    <row r="41" spans="1:9" ht="24.95" customHeight="1" x14ac:dyDescent="0.25">
      <c r="A41" s="3" t="s">
        <v>29</v>
      </c>
      <c r="B41" s="124"/>
      <c r="C41" s="161"/>
      <c r="D41" s="124"/>
      <c r="E41" s="124"/>
      <c r="F41" s="124"/>
      <c r="G41" s="125"/>
      <c r="H41" s="13"/>
    </row>
    <row r="42" spans="1:9" ht="24.95" customHeight="1" x14ac:dyDescent="0.25">
      <c r="A42" s="3" t="s">
        <v>30</v>
      </c>
      <c r="B42" s="124"/>
      <c r="C42" s="124"/>
      <c r="D42" s="124"/>
      <c r="E42" s="124"/>
      <c r="F42" s="67"/>
      <c r="G42" s="125"/>
      <c r="H42" s="150"/>
    </row>
    <row r="43" spans="1:9" ht="24.95" customHeight="1" x14ac:dyDescent="0.25">
      <c r="A43" s="3" t="s">
        <v>31</v>
      </c>
      <c r="B43" s="124"/>
      <c r="C43" s="161"/>
      <c r="D43" s="124"/>
      <c r="E43" s="124"/>
      <c r="F43" s="124"/>
      <c r="G43" s="125"/>
      <c r="H43" s="13"/>
    </row>
    <row r="44" spans="1:9" ht="24.95" customHeight="1" x14ac:dyDescent="0.25">
      <c r="A44" s="3" t="s">
        <v>32</v>
      </c>
      <c r="B44" s="136"/>
      <c r="C44" s="124"/>
      <c r="D44" s="124"/>
      <c r="E44" s="124"/>
      <c r="F44" s="124"/>
      <c r="G44" s="125"/>
      <c r="H44" s="150"/>
    </row>
    <row r="45" spans="1:9" ht="24.95" customHeight="1" x14ac:dyDescent="0.25">
      <c r="A45" s="3" t="s">
        <v>33</v>
      </c>
      <c r="B45" s="124"/>
      <c r="C45" s="124"/>
      <c r="D45" s="124"/>
      <c r="E45" s="124"/>
      <c r="F45" s="124"/>
      <c r="G45" s="125"/>
      <c r="H45" s="150"/>
    </row>
    <row r="46" spans="1:9" ht="24.95" customHeight="1" x14ac:dyDescent="0.25">
      <c r="A46" s="3" t="s">
        <v>34</v>
      </c>
      <c r="B46" s="124"/>
      <c r="C46" s="124"/>
      <c r="D46" s="124"/>
      <c r="E46" s="124" t="s">
        <v>146</v>
      </c>
      <c r="F46" s="124"/>
      <c r="G46" s="125"/>
      <c r="H46" s="150"/>
    </row>
    <row r="47" spans="1:9" ht="24.95" customHeight="1" x14ac:dyDescent="0.25">
      <c r="A47" s="3" t="s">
        <v>35</v>
      </c>
      <c r="B47" s="124"/>
      <c r="C47" s="124"/>
      <c r="D47" s="124"/>
      <c r="E47" s="124" t="s">
        <v>146</v>
      </c>
      <c r="F47" s="124"/>
      <c r="G47" s="125"/>
      <c r="H47" s="150"/>
    </row>
    <row r="48" spans="1:9" ht="24.95" customHeight="1" x14ac:dyDescent="0.25">
      <c r="A48" s="3" t="s">
        <v>36</v>
      </c>
      <c r="B48" s="124"/>
      <c r="C48" s="124"/>
      <c r="D48" s="124"/>
      <c r="E48" s="124" t="s">
        <v>146</v>
      </c>
      <c r="F48" s="124"/>
      <c r="G48" s="125"/>
      <c r="H48" s="150"/>
      <c r="I48" s="5" t="s">
        <v>198</v>
      </c>
    </row>
    <row r="49" spans="1:8" ht="24.95" customHeight="1" x14ac:dyDescent="0.25">
      <c r="A49" s="3" t="s">
        <v>37</v>
      </c>
      <c r="B49" s="124" t="s">
        <v>308</v>
      </c>
      <c r="C49" s="124" t="s">
        <v>59</v>
      </c>
      <c r="D49" s="124">
        <v>200</v>
      </c>
      <c r="E49" s="124"/>
      <c r="F49" s="124" t="s">
        <v>309</v>
      </c>
      <c r="G49" s="125" t="s">
        <v>310</v>
      </c>
      <c r="H49" s="13"/>
    </row>
    <row r="50" spans="1:8" ht="24.95" customHeight="1" x14ac:dyDescent="0.25">
      <c r="A50" s="3" t="s">
        <v>38</v>
      </c>
      <c r="B50" s="136"/>
      <c r="C50" s="124"/>
      <c r="D50" s="124"/>
      <c r="E50" s="124"/>
      <c r="F50" s="124"/>
      <c r="G50" s="125"/>
      <c r="H50" s="169" t="s">
        <v>198</v>
      </c>
    </row>
    <row r="51" spans="1:8" ht="24.95" customHeight="1" x14ac:dyDescent="0.25">
      <c r="A51" s="3" t="s">
        <v>39</v>
      </c>
      <c r="B51" s="124"/>
      <c r="C51" s="125"/>
      <c r="D51" s="124"/>
      <c r="E51" s="124"/>
      <c r="F51" s="124"/>
      <c r="G51" s="125"/>
      <c r="H51" s="150"/>
    </row>
    <row r="52" spans="1:8" ht="24.95" customHeight="1" x14ac:dyDescent="0.25">
      <c r="A52" s="3" t="s">
        <v>40</v>
      </c>
      <c r="B52" s="124" t="s">
        <v>232</v>
      </c>
      <c r="C52" s="124" t="s">
        <v>56</v>
      </c>
      <c r="D52" s="124">
        <v>100</v>
      </c>
      <c r="E52" s="124"/>
      <c r="F52" s="124" t="s">
        <v>212</v>
      </c>
      <c r="G52" s="151" t="s">
        <v>203</v>
      </c>
      <c r="H52" s="13" t="s">
        <v>200</v>
      </c>
    </row>
    <row r="53" spans="1:8" ht="24.95" customHeight="1" x14ac:dyDescent="0.25">
      <c r="A53" s="3" t="s">
        <v>41</v>
      </c>
      <c r="B53" s="124"/>
      <c r="C53" s="124"/>
      <c r="D53" s="124"/>
      <c r="E53" s="124" t="s">
        <v>146</v>
      </c>
      <c r="F53" s="124"/>
      <c r="G53" s="125"/>
      <c r="H53" s="13"/>
    </row>
    <row r="54" spans="1:8" ht="24.95" customHeight="1" x14ac:dyDescent="0.25">
      <c r="A54" s="3" t="s">
        <v>42</v>
      </c>
      <c r="B54" s="124"/>
      <c r="C54" s="124"/>
      <c r="D54" s="124"/>
      <c r="E54" s="124" t="s">
        <v>146</v>
      </c>
      <c r="F54" s="124"/>
      <c r="G54" s="125"/>
      <c r="H54" s="13"/>
    </row>
    <row r="55" spans="1:8" ht="24.95" customHeight="1" x14ac:dyDescent="0.25">
      <c r="A55" s="3" t="s">
        <v>43</v>
      </c>
      <c r="B55" s="124" t="s">
        <v>233</v>
      </c>
      <c r="C55" s="124" t="s">
        <v>56</v>
      </c>
      <c r="D55" s="124">
        <v>100</v>
      </c>
      <c r="E55" s="124"/>
      <c r="F55" s="124" t="s">
        <v>273</v>
      </c>
      <c r="G55" s="125" t="s">
        <v>179</v>
      </c>
      <c r="H55" s="13" t="s">
        <v>200</v>
      </c>
    </row>
    <row r="56" spans="1:8" ht="24.95" customHeight="1" x14ac:dyDescent="0.25">
      <c r="A56" s="3" t="s">
        <v>44</v>
      </c>
      <c r="B56" s="124"/>
      <c r="C56" s="124"/>
      <c r="D56" s="124"/>
      <c r="E56" s="124" t="s">
        <v>146</v>
      </c>
      <c r="F56" s="124"/>
      <c r="G56" s="125"/>
      <c r="H56" s="150"/>
    </row>
    <row r="57" spans="1:8" ht="24.95" customHeight="1" x14ac:dyDescent="0.25">
      <c r="A57" s="3" t="s">
        <v>45</v>
      </c>
      <c r="B57" s="124"/>
      <c r="C57" s="124"/>
      <c r="D57" s="124"/>
      <c r="E57" s="124"/>
      <c r="F57" s="124"/>
      <c r="G57" s="125"/>
      <c r="H57" s="150"/>
    </row>
    <row r="58" spans="1:8" ht="24.95" customHeight="1" x14ac:dyDescent="0.25">
      <c r="A58" s="3" t="s">
        <v>229</v>
      </c>
      <c r="B58" s="124" t="s">
        <v>301</v>
      </c>
      <c r="C58" s="124" t="s">
        <v>56</v>
      </c>
      <c r="D58" s="124">
        <v>60</v>
      </c>
      <c r="E58" s="124"/>
      <c r="F58" s="124" t="s">
        <v>322</v>
      </c>
      <c r="G58" s="125" t="s">
        <v>293</v>
      </c>
      <c r="H58" s="13" t="s">
        <v>200</v>
      </c>
    </row>
    <row r="59" spans="1:8" ht="24.95" customHeight="1" x14ac:dyDescent="0.25">
      <c r="A59" s="3" t="s">
        <v>47</v>
      </c>
      <c r="B59" s="136" t="s">
        <v>326</v>
      </c>
      <c r="C59" s="124" t="s">
        <v>59</v>
      </c>
      <c r="D59" s="124">
        <v>80</v>
      </c>
      <c r="E59" s="124"/>
      <c r="F59" s="179" t="s">
        <v>328</v>
      </c>
      <c r="G59" s="125" t="s">
        <v>151</v>
      </c>
      <c r="H59" s="13" t="s">
        <v>276</v>
      </c>
    </row>
    <row r="60" spans="1:8" ht="24.95" customHeight="1" thickBot="1" x14ac:dyDescent="0.3">
      <c r="A60" s="3" t="s">
        <v>48</v>
      </c>
      <c r="B60" s="136"/>
      <c r="C60" s="124"/>
      <c r="D60" s="124"/>
      <c r="E60" s="124"/>
      <c r="F60" s="144"/>
      <c r="G60" s="125"/>
      <c r="H60" s="150" t="s">
        <v>205</v>
      </c>
    </row>
    <row r="61" spans="1:8" ht="24.95" customHeight="1" x14ac:dyDescent="0.25">
      <c r="A61" s="3" t="s">
        <v>49</v>
      </c>
      <c r="B61" s="136" t="s">
        <v>317</v>
      </c>
      <c r="C61" s="124" t="s">
        <v>59</v>
      </c>
      <c r="D61" s="124">
        <v>240</v>
      </c>
      <c r="E61" s="124"/>
      <c r="F61" s="124" t="s">
        <v>238</v>
      </c>
      <c r="G61" s="125" t="s">
        <v>305</v>
      </c>
      <c r="H61" s="170"/>
    </row>
    <row r="62" spans="1:8" ht="24.95" customHeight="1" x14ac:dyDescent="0.25">
      <c r="A62" s="3" t="s">
        <v>50</v>
      </c>
      <c r="B62" s="124" t="s">
        <v>318</v>
      </c>
      <c r="C62" s="124" t="s">
        <v>59</v>
      </c>
      <c r="D62" s="124">
        <v>120</v>
      </c>
      <c r="E62" s="124"/>
      <c r="F62" s="124" t="s">
        <v>58</v>
      </c>
      <c r="G62" s="125" t="s">
        <v>151</v>
      </c>
      <c r="H62" s="13" t="s">
        <v>276</v>
      </c>
    </row>
    <row r="63" spans="1:8" ht="24.95" customHeight="1" thickBot="1" x14ac:dyDescent="0.3">
      <c r="A63" s="7" t="s">
        <v>51</v>
      </c>
      <c r="B63" s="144" t="s">
        <v>316</v>
      </c>
      <c r="C63" s="144" t="s">
        <v>59</v>
      </c>
      <c r="D63" s="144">
        <v>240</v>
      </c>
      <c r="E63" s="144"/>
      <c r="F63" s="124" t="s">
        <v>300</v>
      </c>
      <c r="G63" s="125" t="s">
        <v>305</v>
      </c>
      <c r="H63" s="30"/>
    </row>
    <row r="64" spans="1:8" ht="15" customHeight="1" thickBot="1" x14ac:dyDescent="0.3"/>
    <row r="65" spans="1:8" ht="24.95" customHeight="1" x14ac:dyDescent="0.25">
      <c r="A65" s="195" t="s">
        <v>54</v>
      </c>
      <c r="B65" s="196"/>
      <c r="C65" s="196"/>
      <c r="D65" s="196"/>
      <c r="E65" s="196"/>
      <c r="F65" s="196"/>
      <c r="G65" s="196"/>
      <c r="H65" s="197"/>
    </row>
    <row r="66" spans="1:8" ht="24.95" customHeight="1" x14ac:dyDescent="0.25">
      <c r="A66" s="183" t="str">
        <f>A1</f>
        <v xml:space="preserve">Mapa do Lactário </v>
      </c>
      <c r="B66" s="184"/>
      <c r="C66" s="184"/>
      <c r="D66" s="184"/>
      <c r="E66" s="184"/>
      <c r="F66" s="134" t="s">
        <v>8</v>
      </c>
      <c r="G66" s="191" t="str">
        <f>A4</f>
        <v xml:space="preserve">DATA : 10/10/2019   </v>
      </c>
      <c r="H66" s="186"/>
    </row>
    <row r="67" spans="1:8" ht="24.95" customHeight="1" x14ac:dyDescent="0.25">
      <c r="A67" s="157" t="s">
        <v>2</v>
      </c>
      <c r="B67" s="158" t="s">
        <v>3</v>
      </c>
      <c r="C67" s="158" t="s">
        <v>9</v>
      </c>
      <c r="D67" s="158" t="s">
        <v>148</v>
      </c>
      <c r="E67" s="158" t="s">
        <v>1</v>
      </c>
      <c r="F67" s="158" t="s">
        <v>6</v>
      </c>
      <c r="G67" s="158" t="s">
        <v>5</v>
      </c>
      <c r="H67" s="2" t="s">
        <v>7</v>
      </c>
    </row>
    <row r="68" spans="1:8" ht="24.95" customHeight="1" x14ac:dyDescent="0.25">
      <c r="A68" s="3">
        <v>4201</v>
      </c>
      <c r="B68" s="135" t="s">
        <v>219</v>
      </c>
      <c r="C68" s="124" t="s">
        <v>60</v>
      </c>
      <c r="D68" s="124">
        <v>40</v>
      </c>
      <c r="E68" s="124" t="s">
        <v>1</v>
      </c>
      <c r="F68" s="124" t="s">
        <v>313</v>
      </c>
      <c r="G68" s="125" t="s">
        <v>151</v>
      </c>
      <c r="H68" s="126"/>
    </row>
    <row r="69" spans="1:8" ht="24.95" customHeight="1" x14ac:dyDescent="0.25">
      <c r="A69" s="3">
        <v>4202</v>
      </c>
      <c r="B69" s="135"/>
      <c r="C69" s="124"/>
      <c r="D69" s="124"/>
      <c r="E69" s="124"/>
      <c r="F69" s="124"/>
      <c r="G69" s="125"/>
      <c r="H69" s="165"/>
    </row>
    <row r="70" spans="1:8" ht="24.95" customHeight="1" x14ac:dyDescent="0.25">
      <c r="A70" s="3">
        <v>4203</v>
      </c>
      <c r="B70" s="135" t="s">
        <v>272</v>
      </c>
      <c r="C70" s="124" t="s">
        <v>60</v>
      </c>
      <c r="D70" s="124">
        <v>32</v>
      </c>
      <c r="E70" s="124" t="s">
        <v>285</v>
      </c>
      <c r="F70" s="124" t="s">
        <v>61</v>
      </c>
      <c r="G70" s="125" t="s">
        <v>151</v>
      </c>
      <c r="H70" s="166"/>
    </row>
    <row r="71" spans="1:8" ht="24.95" customHeight="1" x14ac:dyDescent="0.25">
      <c r="A71" s="3">
        <v>4204</v>
      </c>
      <c r="B71" s="135" t="s">
        <v>286</v>
      </c>
      <c r="C71" s="124" t="s">
        <v>206</v>
      </c>
      <c r="D71" s="124">
        <v>25</v>
      </c>
      <c r="E71" s="124" t="s">
        <v>1</v>
      </c>
      <c r="F71" s="124" t="s">
        <v>61</v>
      </c>
      <c r="G71" s="125" t="s">
        <v>151</v>
      </c>
      <c r="H71" s="126"/>
    </row>
    <row r="72" spans="1:8" ht="24.95" customHeight="1" x14ac:dyDescent="0.25">
      <c r="A72" s="3">
        <v>4205</v>
      </c>
      <c r="B72" s="135" t="s">
        <v>299</v>
      </c>
      <c r="C72" s="124" t="s">
        <v>59</v>
      </c>
      <c r="D72" s="124">
        <v>31</v>
      </c>
      <c r="E72" s="124" t="s">
        <v>1</v>
      </c>
      <c r="F72" s="124" t="s">
        <v>58</v>
      </c>
      <c r="G72" s="125" t="s">
        <v>151</v>
      </c>
      <c r="H72" s="167"/>
    </row>
    <row r="73" spans="1:8" ht="24.95" customHeight="1" x14ac:dyDescent="0.25">
      <c r="A73" s="3">
        <v>4206</v>
      </c>
      <c r="B73" s="135" t="s">
        <v>325</v>
      </c>
      <c r="C73" s="124" t="s">
        <v>60</v>
      </c>
      <c r="D73" s="124">
        <v>16</v>
      </c>
      <c r="E73" s="124" t="s">
        <v>1</v>
      </c>
      <c r="F73" s="124" t="s">
        <v>61</v>
      </c>
      <c r="G73" s="125" t="s">
        <v>151</v>
      </c>
      <c r="H73" s="126"/>
    </row>
    <row r="74" spans="1:8" ht="24.95" customHeight="1" x14ac:dyDescent="0.25">
      <c r="A74" s="3">
        <v>4207</v>
      </c>
      <c r="B74" s="135" t="s">
        <v>323</v>
      </c>
      <c r="C74" s="124" t="s">
        <v>59</v>
      </c>
      <c r="D74" s="124">
        <v>62</v>
      </c>
      <c r="E74" s="124" t="s">
        <v>1</v>
      </c>
      <c r="F74" s="124" t="s">
        <v>58</v>
      </c>
      <c r="G74" s="125" t="s">
        <v>151</v>
      </c>
      <c r="H74" s="126"/>
    </row>
    <row r="75" spans="1:8" ht="24.95" customHeight="1" x14ac:dyDescent="0.25">
      <c r="A75" s="3">
        <v>4208</v>
      </c>
      <c r="B75" s="147"/>
      <c r="C75" s="21"/>
      <c r="D75" s="21"/>
      <c r="E75" s="21"/>
      <c r="F75" s="21"/>
      <c r="G75" s="11"/>
      <c r="H75" s="125"/>
    </row>
    <row r="76" spans="1:8" ht="24.95" customHeight="1" x14ac:dyDescent="0.25">
      <c r="A76" s="3">
        <v>4209</v>
      </c>
      <c r="B76" s="135" t="s">
        <v>324</v>
      </c>
      <c r="C76" s="124" t="s">
        <v>60</v>
      </c>
      <c r="D76" s="124">
        <v>50</v>
      </c>
      <c r="E76" s="124" t="s">
        <v>1</v>
      </c>
      <c r="F76" s="124" t="s">
        <v>58</v>
      </c>
      <c r="G76" s="125" t="s">
        <v>151</v>
      </c>
      <c r="H76" s="125"/>
    </row>
    <row r="77" spans="1:8" ht="24.95" customHeight="1" x14ac:dyDescent="0.25">
      <c r="A77" s="3">
        <v>4210</v>
      </c>
      <c r="B77" s="135" t="s">
        <v>199</v>
      </c>
      <c r="C77" s="124" t="s">
        <v>59</v>
      </c>
      <c r="D77" s="124">
        <v>50</v>
      </c>
      <c r="E77" s="124" t="s">
        <v>1</v>
      </c>
      <c r="F77" s="124" t="s">
        <v>58</v>
      </c>
      <c r="G77" s="125" t="s">
        <v>151</v>
      </c>
      <c r="H77" s="166" t="s">
        <v>283</v>
      </c>
    </row>
    <row r="78" spans="1:8" ht="24.95" customHeight="1" x14ac:dyDescent="0.25">
      <c r="A78" s="3">
        <v>4211</v>
      </c>
      <c r="B78" s="135" t="s">
        <v>329</v>
      </c>
      <c r="C78" s="124" t="s">
        <v>206</v>
      </c>
      <c r="D78" s="124">
        <v>9</v>
      </c>
      <c r="E78" s="124" t="s">
        <v>1</v>
      </c>
      <c r="F78" s="124" t="s">
        <v>327</v>
      </c>
      <c r="G78" s="125" t="s">
        <v>151</v>
      </c>
      <c r="H78" s="168"/>
    </row>
    <row r="79" spans="1:8" ht="24.95" customHeight="1" x14ac:dyDescent="0.25">
      <c r="A79" s="3">
        <v>4212</v>
      </c>
      <c r="B79" s="147"/>
      <c r="C79" s="21"/>
      <c r="D79" s="21"/>
      <c r="E79" s="21"/>
      <c r="F79" s="21"/>
      <c r="G79" s="11"/>
      <c r="H79" s="166"/>
    </row>
    <row r="80" spans="1:8" ht="24.95" customHeight="1" x14ac:dyDescent="0.25">
      <c r="A80" s="3">
        <v>4213</v>
      </c>
      <c r="B80" s="135"/>
      <c r="C80" s="161"/>
      <c r="D80" s="124"/>
      <c r="E80" s="124"/>
      <c r="F80" s="124"/>
      <c r="G80" s="163"/>
      <c r="H80" s="126"/>
    </row>
    <row r="81" spans="1:8" ht="24.95" customHeight="1" x14ac:dyDescent="0.25">
      <c r="A81" s="3">
        <v>4214</v>
      </c>
      <c r="B81" s="149" t="s">
        <v>287</v>
      </c>
      <c r="C81" s="124" t="s">
        <v>59</v>
      </c>
      <c r="D81" s="124">
        <v>60</v>
      </c>
      <c r="E81" s="11" t="s">
        <v>1</v>
      </c>
      <c r="F81" s="124" t="s">
        <v>282</v>
      </c>
      <c r="G81" s="125" t="s">
        <v>151</v>
      </c>
      <c r="H81" s="126"/>
    </row>
    <row r="82" spans="1:8" ht="24.95" customHeight="1" x14ac:dyDescent="0.25">
      <c r="A82" s="19">
        <v>4214</v>
      </c>
      <c r="B82" s="135"/>
      <c r="C82" s="161"/>
      <c r="D82" s="124"/>
      <c r="E82" s="124"/>
      <c r="F82" s="124"/>
      <c r="G82" s="125"/>
      <c r="H82" s="166"/>
    </row>
    <row r="83" spans="1:8" ht="24.95" customHeight="1" x14ac:dyDescent="0.25">
      <c r="A83" s="3">
        <v>4216</v>
      </c>
      <c r="B83" s="135"/>
      <c r="C83" s="124"/>
      <c r="D83" s="124"/>
      <c r="E83" s="124"/>
      <c r="F83" s="124"/>
      <c r="G83" s="125"/>
      <c r="H83" s="126"/>
    </row>
    <row r="84" spans="1:8" ht="24.95" customHeight="1" x14ac:dyDescent="0.25">
      <c r="A84" s="3">
        <v>4217</v>
      </c>
      <c r="B84" s="135"/>
      <c r="C84" s="124"/>
      <c r="D84" s="124"/>
      <c r="E84" s="124"/>
      <c r="F84" s="124"/>
      <c r="G84" s="125"/>
      <c r="H84" s="126"/>
    </row>
    <row r="85" spans="1:8" ht="24.95" customHeight="1" x14ac:dyDescent="0.25">
      <c r="A85" s="3">
        <v>4218</v>
      </c>
      <c r="B85" s="135"/>
      <c r="C85" s="124"/>
      <c r="D85" s="124"/>
      <c r="E85" s="124"/>
      <c r="F85" s="124"/>
      <c r="G85" s="125"/>
      <c r="H85" s="126"/>
    </row>
    <row r="86" spans="1:8" ht="24.95" customHeight="1" x14ac:dyDescent="0.25">
      <c r="A86" s="3">
        <v>4219</v>
      </c>
      <c r="B86" s="135"/>
      <c r="C86" s="161"/>
      <c r="D86" s="124"/>
      <c r="E86" s="124"/>
      <c r="F86" s="124"/>
      <c r="G86" s="125"/>
      <c r="H86" s="126"/>
    </row>
    <row r="87" spans="1:8" ht="14.25" customHeight="1" x14ac:dyDescent="0.25">
      <c r="A87" s="192" t="s">
        <v>214</v>
      </c>
      <c r="B87" s="193"/>
      <c r="C87" s="193"/>
      <c r="D87" s="193"/>
      <c r="E87" s="193"/>
      <c r="F87" s="193"/>
      <c r="G87" s="193"/>
      <c r="H87" s="194"/>
    </row>
    <row r="88" spans="1:8" ht="24.95" customHeight="1" x14ac:dyDescent="0.25">
      <c r="A88" s="19">
        <v>4220</v>
      </c>
      <c r="B88" s="135"/>
      <c r="C88" s="161"/>
      <c r="D88" s="124"/>
      <c r="E88" s="124"/>
      <c r="F88" s="124"/>
      <c r="G88" s="125"/>
      <c r="H88" s="13"/>
    </row>
    <row r="89" spans="1:8" ht="24.95" customHeight="1" x14ac:dyDescent="0.25">
      <c r="A89" s="3">
        <v>4221</v>
      </c>
      <c r="B89" s="135" t="s">
        <v>230</v>
      </c>
      <c r="C89" s="124" t="s">
        <v>294</v>
      </c>
      <c r="D89" s="124">
        <v>40</v>
      </c>
      <c r="E89" s="124" t="s">
        <v>1</v>
      </c>
      <c r="F89" s="124" t="s">
        <v>313</v>
      </c>
      <c r="G89" s="125" t="s">
        <v>151</v>
      </c>
      <c r="H89" s="126"/>
    </row>
    <row r="90" spans="1:8" ht="24.95" customHeight="1" x14ac:dyDescent="0.25">
      <c r="A90" s="3">
        <v>4222</v>
      </c>
      <c r="B90" s="135" t="s">
        <v>314</v>
      </c>
      <c r="C90" s="124" t="s">
        <v>59</v>
      </c>
      <c r="D90" s="124">
        <v>43</v>
      </c>
      <c r="E90" s="124"/>
      <c r="F90" s="124" t="s">
        <v>58</v>
      </c>
      <c r="G90" s="125" t="s">
        <v>151</v>
      </c>
      <c r="H90" s="126"/>
    </row>
    <row r="91" spans="1:8" ht="24.95" customHeight="1" x14ac:dyDescent="0.25">
      <c r="A91" s="3">
        <v>4223</v>
      </c>
      <c r="B91" s="135"/>
      <c r="C91" s="124"/>
      <c r="D91" s="124"/>
      <c r="E91" s="124"/>
      <c r="F91" s="124"/>
      <c r="G91" s="125"/>
      <c r="H91" s="125"/>
    </row>
    <row r="92" spans="1:8" ht="24.95" customHeight="1" x14ac:dyDescent="0.25">
      <c r="A92" s="3">
        <v>4224</v>
      </c>
      <c r="B92" s="135"/>
      <c r="C92" s="124"/>
      <c r="D92" s="124"/>
      <c r="E92" s="124"/>
      <c r="F92" s="124"/>
      <c r="G92" s="125"/>
      <c r="H92" s="13"/>
    </row>
    <row r="93" spans="1:8" ht="24.95" customHeight="1" x14ac:dyDescent="0.25">
      <c r="A93" s="3">
        <v>4225</v>
      </c>
      <c r="B93" s="149" t="s">
        <v>297</v>
      </c>
      <c r="C93" s="124" t="s">
        <v>59</v>
      </c>
      <c r="D93" s="124">
        <v>80</v>
      </c>
      <c r="E93" s="124" t="s">
        <v>1</v>
      </c>
      <c r="F93" s="124" t="s">
        <v>58</v>
      </c>
      <c r="G93" s="124" t="s">
        <v>151</v>
      </c>
      <c r="H93" s="13"/>
    </row>
    <row r="94" spans="1:8" ht="24.95" customHeight="1" x14ac:dyDescent="0.25">
      <c r="A94" s="3">
        <v>4226</v>
      </c>
      <c r="B94" s="149" t="s">
        <v>330</v>
      </c>
      <c r="C94" s="124" t="s">
        <v>59</v>
      </c>
      <c r="D94" s="11">
        <v>20</v>
      </c>
      <c r="E94" s="11" t="s">
        <v>1</v>
      </c>
      <c r="F94" s="124" t="s">
        <v>327</v>
      </c>
      <c r="G94" s="11" t="s">
        <v>151</v>
      </c>
      <c r="H94" s="167"/>
    </row>
    <row r="95" spans="1:8" ht="24.95" customHeight="1" x14ac:dyDescent="0.25">
      <c r="A95" s="3">
        <v>4227</v>
      </c>
      <c r="B95" s="149"/>
      <c r="C95" s="124"/>
      <c r="D95" s="11"/>
      <c r="E95" s="11"/>
      <c r="F95" s="124"/>
      <c r="G95" s="11"/>
      <c r="H95" s="166"/>
    </row>
    <row r="96" spans="1:8" ht="24.95" customHeight="1" x14ac:dyDescent="0.25">
      <c r="A96" s="3">
        <v>4228</v>
      </c>
      <c r="B96" s="135" t="s">
        <v>239</v>
      </c>
      <c r="C96" s="124" t="s">
        <v>59</v>
      </c>
      <c r="D96" s="124">
        <v>100</v>
      </c>
      <c r="E96" s="124" t="s">
        <v>1</v>
      </c>
      <c r="F96" s="124" t="s">
        <v>58</v>
      </c>
      <c r="G96" s="125" t="s">
        <v>151</v>
      </c>
      <c r="H96" s="167" t="s">
        <v>279</v>
      </c>
    </row>
    <row r="97" spans="1:8" ht="24.95" customHeight="1" x14ac:dyDescent="0.25">
      <c r="A97" s="3">
        <v>4229</v>
      </c>
      <c r="B97" s="135" t="s">
        <v>295</v>
      </c>
      <c r="C97" s="124" t="s">
        <v>59</v>
      </c>
      <c r="D97" s="124">
        <v>55</v>
      </c>
      <c r="E97" s="124" t="s">
        <v>1</v>
      </c>
      <c r="F97" s="124" t="s">
        <v>58</v>
      </c>
      <c r="G97" s="125" t="s">
        <v>151</v>
      </c>
      <c r="H97" s="167"/>
    </row>
    <row r="98" spans="1:8" ht="24.95" customHeight="1" x14ac:dyDescent="0.25">
      <c r="A98" s="3">
        <v>4230</v>
      </c>
      <c r="B98" s="135"/>
      <c r="C98" s="124"/>
      <c r="D98" s="124"/>
      <c r="E98" s="124"/>
      <c r="F98" s="124"/>
      <c r="G98" s="125"/>
      <c r="H98" s="166"/>
    </row>
    <row r="99" spans="1:8" ht="14.25" customHeight="1" x14ac:dyDescent="0.25">
      <c r="A99" s="192" t="s">
        <v>55</v>
      </c>
      <c r="B99" s="193"/>
      <c r="C99" s="193"/>
      <c r="D99" s="193"/>
      <c r="E99" s="193"/>
      <c r="F99" s="193"/>
      <c r="G99" s="193"/>
      <c r="H99" s="194"/>
    </row>
    <row r="100" spans="1:8" ht="24.95" customHeight="1" x14ac:dyDescent="0.25">
      <c r="A100" s="3">
        <v>4241</v>
      </c>
      <c r="B100" s="135"/>
      <c r="C100" s="124"/>
      <c r="D100" s="124"/>
      <c r="E100" s="124"/>
      <c r="F100" s="124"/>
      <c r="G100" s="125"/>
      <c r="H100" s="167"/>
    </row>
    <row r="101" spans="1:8" ht="24.95" customHeight="1" x14ac:dyDescent="0.25">
      <c r="A101" s="3">
        <v>4242</v>
      </c>
      <c r="B101" s="135"/>
      <c r="C101" s="161"/>
      <c r="D101" s="124"/>
      <c r="E101" s="124"/>
      <c r="F101" s="124"/>
      <c r="G101" s="125"/>
      <c r="H101" s="126"/>
    </row>
    <row r="102" spans="1:8" ht="24.95" customHeight="1" x14ac:dyDescent="0.25">
      <c r="A102" s="3">
        <v>4243</v>
      </c>
      <c r="B102" s="135"/>
      <c r="C102" s="124"/>
      <c r="D102" s="124"/>
      <c r="E102" s="124"/>
      <c r="F102" s="124"/>
      <c r="G102" s="125"/>
      <c r="H102" s="126"/>
    </row>
    <row r="103" spans="1:8" ht="24.95" customHeight="1" x14ac:dyDescent="0.25">
      <c r="A103" s="3">
        <v>4244</v>
      </c>
      <c r="B103" s="135"/>
      <c r="C103" s="124"/>
      <c r="D103" s="124"/>
      <c r="E103" s="124"/>
      <c r="F103" s="124"/>
      <c r="G103" s="125"/>
      <c r="H103" s="126"/>
    </row>
    <row r="104" spans="1:8" ht="24.95" customHeight="1" thickBot="1" x14ac:dyDescent="0.3">
      <c r="A104" s="7"/>
      <c r="B104" s="159"/>
      <c r="C104" s="144"/>
      <c r="D104" s="144"/>
      <c r="E104" s="144"/>
      <c r="F104" s="124"/>
      <c r="G104" s="125"/>
      <c r="H104" s="160"/>
    </row>
    <row r="105" spans="1:8" ht="24.95" customHeight="1" thickBot="1" x14ac:dyDescent="0.3"/>
    <row r="106" spans="1:8" ht="24.95" customHeight="1" x14ac:dyDescent="0.25">
      <c r="A106" s="180" t="s">
        <v>62</v>
      </c>
      <c r="B106" s="181"/>
      <c r="C106" s="181"/>
      <c r="D106" s="181"/>
      <c r="E106" s="181"/>
      <c r="F106" s="181"/>
      <c r="G106" s="181"/>
      <c r="H106" s="182"/>
    </row>
    <row r="107" spans="1:8" ht="24.95" customHeight="1" x14ac:dyDescent="0.25">
      <c r="A107" s="183" t="str">
        <f>A1</f>
        <v xml:space="preserve">Mapa do Lactário </v>
      </c>
      <c r="B107" s="184"/>
      <c r="C107" s="184"/>
      <c r="D107" s="184"/>
      <c r="E107" s="184"/>
      <c r="F107" s="137" t="s">
        <v>8</v>
      </c>
      <c r="G107" s="185" t="str">
        <f>A4</f>
        <v xml:space="preserve">DATA : 10/10/2019   </v>
      </c>
      <c r="H107" s="186"/>
    </row>
    <row r="108" spans="1:8" ht="24.95" customHeight="1" x14ac:dyDescent="0.25">
      <c r="A108" s="138" t="s">
        <v>2</v>
      </c>
      <c r="B108" s="146" t="s">
        <v>3</v>
      </c>
      <c r="C108" s="137" t="s">
        <v>9</v>
      </c>
      <c r="D108" s="137" t="s">
        <v>4</v>
      </c>
      <c r="E108" s="137" t="s">
        <v>1</v>
      </c>
      <c r="F108" s="137" t="s">
        <v>6</v>
      </c>
      <c r="G108" s="137" t="s">
        <v>5</v>
      </c>
      <c r="H108" s="2" t="s">
        <v>7</v>
      </c>
    </row>
    <row r="109" spans="1:8" ht="24.95" customHeight="1" x14ac:dyDescent="0.25">
      <c r="A109" s="3" t="s">
        <v>225</v>
      </c>
      <c r="B109" s="22"/>
      <c r="C109" s="11"/>
      <c r="D109" s="11"/>
      <c r="E109" s="11"/>
      <c r="F109" s="11"/>
      <c r="G109" s="11"/>
      <c r="H109" s="13"/>
    </row>
    <row r="110" spans="1:8" ht="24.95" customHeight="1" x14ac:dyDescent="0.25">
      <c r="A110" s="3" t="s">
        <v>218</v>
      </c>
      <c r="B110" s="135"/>
      <c r="C110" s="161"/>
      <c r="D110" s="124"/>
      <c r="E110" s="124"/>
      <c r="F110" s="124"/>
      <c r="G110" s="125"/>
      <c r="H110" s="13"/>
    </row>
    <row r="111" spans="1:8" ht="24.95" customHeight="1" x14ac:dyDescent="0.25">
      <c r="A111" s="3" t="s">
        <v>248</v>
      </c>
      <c r="B111" s="135"/>
      <c r="C111" s="161"/>
      <c r="D111" s="124"/>
      <c r="E111" s="124"/>
      <c r="F111" s="124"/>
      <c r="G111" s="164"/>
      <c r="H111" s="13"/>
    </row>
    <row r="112" spans="1:8" ht="24.95" customHeight="1" x14ac:dyDescent="0.25">
      <c r="A112" s="3" t="s">
        <v>226</v>
      </c>
      <c r="B112" s="22"/>
      <c r="C112" s="11"/>
      <c r="D112" s="11"/>
      <c r="E112" s="124"/>
      <c r="F112" s="124"/>
      <c r="G112" s="10"/>
      <c r="H112" s="13"/>
    </row>
    <row r="113" spans="1:8" ht="24.95" customHeight="1" x14ac:dyDescent="0.25">
      <c r="A113" s="3" t="s">
        <v>221</v>
      </c>
      <c r="B113" s="22"/>
      <c r="C113" s="11"/>
      <c r="D113" s="11"/>
      <c r="E113" s="11"/>
      <c r="F113" s="124"/>
      <c r="G113" s="11"/>
      <c r="H113" s="13"/>
    </row>
    <row r="114" spans="1:8" ht="24.95" customHeight="1" x14ac:dyDescent="0.25">
      <c r="A114" s="3" t="s">
        <v>249</v>
      </c>
      <c r="B114" s="22"/>
      <c r="C114" s="11"/>
      <c r="D114" s="11"/>
      <c r="E114" s="11"/>
      <c r="F114" s="124"/>
      <c r="G114" s="11"/>
      <c r="H114" s="13"/>
    </row>
    <row r="115" spans="1:8" ht="24.95" customHeight="1" x14ac:dyDescent="0.25">
      <c r="A115" s="3" t="s">
        <v>220</v>
      </c>
      <c r="B115" s="149"/>
      <c r="C115" s="124"/>
      <c r="D115" s="124"/>
      <c r="E115" s="124"/>
      <c r="F115" s="124"/>
      <c r="G115" s="124"/>
      <c r="H115" s="150"/>
    </row>
    <row r="116" spans="1:8" ht="24.95" customHeight="1" x14ac:dyDescent="0.25">
      <c r="A116" s="3" t="s">
        <v>251</v>
      </c>
      <c r="B116" s="135"/>
      <c r="C116" s="161"/>
      <c r="D116" s="124"/>
      <c r="E116" s="124"/>
      <c r="F116" s="21"/>
      <c r="G116" s="21"/>
      <c r="H116" s="13"/>
    </row>
    <row r="117" spans="1:8" ht="24.95" customHeight="1" x14ac:dyDescent="0.25">
      <c r="A117" s="3" t="s">
        <v>250</v>
      </c>
      <c r="B117" s="135" t="s">
        <v>284</v>
      </c>
      <c r="C117" s="161" t="s">
        <v>59</v>
      </c>
      <c r="D117" s="124">
        <v>25</v>
      </c>
      <c r="E117" s="124" t="s">
        <v>1</v>
      </c>
      <c r="F117" s="124" t="s">
        <v>58</v>
      </c>
      <c r="G117" s="125" t="s">
        <v>151</v>
      </c>
      <c r="H117" s="13"/>
    </row>
    <row r="118" spans="1:8" ht="24.95" customHeight="1" x14ac:dyDescent="0.25">
      <c r="A118" s="3" t="s">
        <v>222</v>
      </c>
      <c r="B118" s="22"/>
      <c r="C118" s="11"/>
      <c r="D118" s="11"/>
      <c r="E118" s="11"/>
      <c r="F118" s="124"/>
      <c r="G118" s="11"/>
      <c r="H118" s="13"/>
    </row>
    <row r="119" spans="1:8" ht="24.95" customHeight="1" x14ac:dyDescent="0.25">
      <c r="A119" s="3" t="s">
        <v>227</v>
      </c>
      <c r="B119" s="22"/>
      <c r="C119" s="11"/>
      <c r="D119" s="11"/>
      <c r="E119" s="11"/>
      <c r="F119" s="124"/>
      <c r="G119" s="11"/>
      <c r="H119" s="13"/>
    </row>
    <row r="120" spans="1:8" ht="24.95" customHeight="1" x14ac:dyDescent="0.25">
      <c r="A120" s="3" t="s">
        <v>274</v>
      </c>
      <c r="B120" s="149"/>
      <c r="C120" s="11"/>
      <c r="D120" s="11"/>
      <c r="E120" s="11"/>
      <c r="F120" s="124"/>
      <c r="G120" s="11"/>
      <c r="H120" s="13"/>
    </row>
    <row r="121" spans="1:8" ht="24.95" customHeight="1" x14ac:dyDescent="0.25">
      <c r="A121" s="3" t="s">
        <v>252</v>
      </c>
      <c r="B121" s="23"/>
      <c r="C121" s="11"/>
      <c r="D121" s="11"/>
      <c r="E121" s="11"/>
      <c r="F121" s="21"/>
      <c r="G121" s="21"/>
      <c r="H121" s="13"/>
    </row>
    <row r="122" spans="1:8" ht="24.95" customHeight="1" x14ac:dyDescent="0.25">
      <c r="A122" s="3" t="s">
        <v>253</v>
      </c>
      <c r="B122" s="135"/>
      <c r="C122" s="124"/>
      <c r="D122" s="124"/>
      <c r="E122" s="124"/>
      <c r="F122" s="124"/>
      <c r="G122" s="125"/>
      <c r="H122" s="150"/>
    </row>
    <row r="123" spans="1:8" ht="24.95" customHeight="1" x14ac:dyDescent="0.25">
      <c r="A123" s="3" t="s">
        <v>254</v>
      </c>
      <c r="B123" s="135"/>
      <c r="C123" s="124"/>
      <c r="D123" s="124"/>
      <c r="E123" s="124"/>
      <c r="F123" s="124"/>
      <c r="G123" s="125"/>
      <c r="H123" s="150"/>
    </row>
    <row r="124" spans="1:8" ht="24.95" customHeight="1" x14ac:dyDescent="0.25">
      <c r="A124" s="3" t="s">
        <v>255</v>
      </c>
      <c r="B124" s="147"/>
      <c r="C124" s="21"/>
      <c r="D124" s="21"/>
      <c r="E124" s="21"/>
      <c r="F124" s="21"/>
      <c r="G124" s="21"/>
      <c r="H124" s="166"/>
    </row>
    <row r="125" spans="1:8" ht="24.95" customHeight="1" x14ac:dyDescent="0.25">
      <c r="A125" s="3" t="s">
        <v>256</v>
      </c>
      <c r="B125" s="149"/>
      <c r="C125" s="124"/>
      <c r="D125" s="124"/>
      <c r="E125" s="124"/>
      <c r="F125" s="124"/>
      <c r="G125" s="124"/>
      <c r="H125" s="126"/>
    </row>
    <row r="126" spans="1:8" ht="24.95" customHeight="1" x14ac:dyDescent="0.25">
      <c r="A126" s="3" t="s">
        <v>257</v>
      </c>
      <c r="B126" s="149"/>
      <c r="C126" s="124"/>
      <c r="D126" s="124"/>
      <c r="E126" s="124"/>
      <c r="F126" s="124"/>
      <c r="G126" s="124"/>
      <c r="H126" s="126"/>
    </row>
    <row r="127" spans="1:8" ht="24.95" customHeight="1" x14ac:dyDescent="0.25">
      <c r="A127" s="3" t="s">
        <v>217</v>
      </c>
      <c r="B127" s="147"/>
      <c r="C127" s="21"/>
      <c r="D127" s="21"/>
      <c r="E127" s="21"/>
      <c r="F127" s="21"/>
      <c r="G127" s="21"/>
      <c r="H127" s="166"/>
    </row>
    <row r="128" spans="1:8" ht="24.95" customHeight="1" x14ac:dyDescent="0.25">
      <c r="A128" s="3" t="s">
        <v>258</v>
      </c>
      <c r="B128" s="147"/>
      <c r="C128" s="21"/>
      <c r="D128" s="21"/>
      <c r="E128" s="21"/>
      <c r="F128" s="21"/>
      <c r="G128" s="21"/>
      <c r="H128" s="166"/>
    </row>
    <row r="129" spans="1:8" ht="24.95" customHeight="1" x14ac:dyDescent="0.25">
      <c r="A129" s="3" t="s">
        <v>259</v>
      </c>
      <c r="B129" s="147"/>
      <c r="C129" s="21"/>
      <c r="D129" s="21"/>
      <c r="E129" s="21"/>
      <c r="F129" s="21"/>
      <c r="G129" s="21"/>
      <c r="H129" s="166"/>
    </row>
    <row r="130" spans="1:8" ht="24.95" customHeight="1" x14ac:dyDescent="0.25">
      <c r="A130" s="3" t="s">
        <v>224</v>
      </c>
      <c r="B130" s="149" t="s">
        <v>315</v>
      </c>
      <c r="C130" s="11" t="s">
        <v>59</v>
      </c>
      <c r="D130" s="11">
        <v>40</v>
      </c>
      <c r="E130" s="11"/>
      <c r="F130" s="124" t="s">
        <v>58</v>
      </c>
      <c r="G130" s="11" t="s">
        <v>151</v>
      </c>
      <c r="H130" s="126"/>
    </row>
    <row r="131" spans="1:8" ht="24.95" customHeight="1" x14ac:dyDescent="0.25">
      <c r="A131" s="3" t="s">
        <v>228</v>
      </c>
      <c r="B131" s="149" t="s">
        <v>320</v>
      </c>
      <c r="C131" s="11" t="s">
        <v>59</v>
      </c>
      <c r="D131" s="11">
        <v>40</v>
      </c>
      <c r="E131" s="11"/>
      <c r="F131" s="124" t="s">
        <v>58</v>
      </c>
      <c r="G131" s="11" t="s">
        <v>151</v>
      </c>
      <c r="H131" s="126"/>
    </row>
    <row r="132" spans="1:8" ht="24.95" customHeight="1" x14ac:dyDescent="0.25">
      <c r="A132" s="3" t="s">
        <v>260</v>
      </c>
      <c r="B132" s="149" t="s">
        <v>311</v>
      </c>
      <c r="C132" s="11" t="s">
        <v>59</v>
      </c>
      <c r="D132" s="11">
        <v>25</v>
      </c>
      <c r="E132" s="11"/>
      <c r="F132" s="124" t="s">
        <v>58</v>
      </c>
      <c r="G132" s="11" t="s">
        <v>151</v>
      </c>
      <c r="H132" s="126"/>
    </row>
    <row r="133" spans="1:8" ht="24.95" customHeight="1" x14ac:dyDescent="0.25">
      <c r="A133" s="3" t="s">
        <v>216</v>
      </c>
      <c r="B133" s="149"/>
      <c r="C133" s="11"/>
      <c r="D133" s="11"/>
      <c r="E133" s="11"/>
      <c r="F133" s="124"/>
      <c r="G133" s="154"/>
      <c r="H133" s="150"/>
    </row>
    <row r="134" spans="1:8" ht="24.95" customHeight="1" x14ac:dyDescent="0.25">
      <c r="A134" s="3" t="s">
        <v>215</v>
      </c>
      <c r="B134" s="147"/>
      <c r="C134" s="11"/>
      <c r="D134" s="11"/>
      <c r="E134" s="11"/>
      <c r="F134" s="124"/>
      <c r="G134" s="154"/>
      <c r="H134" s="166"/>
    </row>
    <row r="135" spans="1:8" ht="24.95" customHeight="1" x14ac:dyDescent="0.25">
      <c r="A135" s="3" t="s">
        <v>261</v>
      </c>
      <c r="B135" s="147"/>
      <c r="C135" s="21"/>
      <c r="D135" s="21"/>
      <c r="E135" s="21"/>
      <c r="F135" s="21"/>
      <c r="G135" s="21"/>
      <c r="H135" s="166"/>
    </row>
    <row r="136" spans="1:8" ht="24.95" customHeight="1" x14ac:dyDescent="0.25">
      <c r="A136" s="3" t="s">
        <v>262</v>
      </c>
      <c r="B136" s="147"/>
      <c r="C136" s="11"/>
      <c r="D136" s="11"/>
      <c r="E136" s="124"/>
      <c r="F136" s="124"/>
      <c r="G136" s="154"/>
      <c r="H136" s="166"/>
    </row>
    <row r="137" spans="1:8" ht="24.95" customHeight="1" x14ac:dyDescent="0.25">
      <c r="A137" s="3" t="s">
        <v>288</v>
      </c>
      <c r="B137" s="147" t="s">
        <v>312</v>
      </c>
      <c r="C137" s="11" t="s">
        <v>59</v>
      </c>
      <c r="D137" s="11">
        <v>36</v>
      </c>
      <c r="E137" s="124" t="s">
        <v>1</v>
      </c>
      <c r="F137" s="124" t="s">
        <v>58</v>
      </c>
      <c r="G137" s="154" t="s">
        <v>151</v>
      </c>
      <c r="H137" s="166"/>
    </row>
    <row r="138" spans="1:8" ht="24.95" customHeight="1" x14ac:dyDescent="0.25">
      <c r="A138" s="3" t="s">
        <v>263</v>
      </c>
      <c r="B138" s="147" t="s">
        <v>298</v>
      </c>
      <c r="C138" s="11" t="s">
        <v>59</v>
      </c>
      <c r="D138" s="11">
        <v>10</v>
      </c>
      <c r="E138" s="124" t="s">
        <v>1</v>
      </c>
      <c r="F138" s="124" t="s">
        <v>58</v>
      </c>
      <c r="G138" s="154" t="s">
        <v>276</v>
      </c>
      <c r="H138" s="166"/>
    </row>
    <row r="139" spans="1:8" ht="24.95" customHeight="1" x14ac:dyDescent="0.25">
      <c r="A139" s="3" t="s">
        <v>264</v>
      </c>
      <c r="B139" s="147" t="s">
        <v>296</v>
      </c>
      <c r="C139" s="11" t="s">
        <v>59</v>
      </c>
      <c r="D139" s="11">
        <v>35</v>
      </c>
      <c r="E139" s="124" t="s">
        <v>1</v>
      </c>
      <c r="F139" s="124" t="s">
        <v>58</v>
      </c>
      <c r="G139" s="154" t="s">
        <v>276</v>
      </c>
      <c r="H139" s="166"/>
    </row>
    <row r="140" spans="1:8" ht="24.95" customHeight="1" x14ac:dyDescent="0.25">
      <c r="A140" s="3" t="s">
        <v>265</v>
      </c>
      <c r="B140" s="147" t="s">
        <v>277</v>
      </c>
      <c r="C140" s="11" t="s">
        <v>59</v>
      </c>
      <c r="D140" s="11">
        <v>20</v>
      </c>
      <c r="E140" s="124" t="s">
        <v>1</v>
      </c>
      <c r="F140" s="124" t="s">
        <v>58</v>
      </c>
      <c r="G140" s="154" t="s">
        <v>276</v>
      </c>
      <c r="H140" s="166"/>
    </row>
    <row r="141" spans="1:8" ht="24.95" customHeight="1" x14ac:dyDescent="0.25">
      <c r="A141" s="3" t="s">
        <v>242</v>
      </c>
      <c r="B141" s="147" t="s">
        <v>280</v>
      </c>
      <c r="C141" s="11" t="s">
        <v>59</v>
      </c>
      <c r="D141" s="11">
        <v>45</v>
      </c>
      <c r="E141" s="124" t="s">
        <v>1</v>
      </c>
      <c r="F141" s="124" t="s">
        <v>58</v>
      </c>
      <c r="G141" s="11" t="s">
        <v>276</v>
      </c>
      <c r="H141" s="13"/>
    </row>
    <row r="142" spans="1:8" ht="24.95" customHeight="1" x14ac:dyDescent="0.25">
      <c r="A142" s="3" t="s">
        <v>241</v>
      </c>
      <c r="B142" s="147"/>
      <c r="C142" s="21"/>
      <c r="D142" s="21"/>
      <c r="E142" s="124"/>
      <c r="F142" s="124"/>
      <c r="G142" s="125"/>
      <c r="H142" s="13"/>
    </row>
    <row r="143" spans="1:8" ht="24.95" customHeight="1" x14ac:dyDescent="0.25">
      <c r="A143" s="3" t="s">
        <v>266</v>
      </c>
      <c r="B143" s="147"/>
      <c r="C143" s="21"/>
      <c r="D143" s="21"/>
      <c r="E143" s="21"/>
      <c r="F143" s="21"/>
      <c r="G143" s="21"/>
      <c r="H143" s="166"/>
    </row>
    <row r="144" spans="1:8" ht="24.95" customHeight="1" x14ac:dyDescent="0.25">
      <c r="A144" s="3" t="s">
        <v>267</v>
      </c>
      <c r="B144" s="147"/>
      <c r="C144" s="21"/>
      <c r="D144" s="21"/>
      <c r="E144" s="21"/>
      <c r="F144" s="21"/>
      <c r="G144" s="21"/>
      <c r="H144" s="166"/>
    </row>
    <row r="145" spans="1:8" ht="24.95" customHeight="1" x14ac:dyDescent="0.25">
      <c r="A145" s="3" t="s">
        <v>268</v>
      </c>
      <c r="B145" s="148"/>
      <c r="C145" s="21"/>
      <c r="D145" s="139"/>
      <c r="E145" s="21"/>
      <c r="F145" s="21"/>
      <c r="G145" s="21"/>
      <c r="H145" s="166"/>
    </row>
    <row r="146" spans="1:8" ht="24.95" customHeight="1" x14ac:dyDescent="0.25">
      <c r="A146" s="3" t="s">
        <v>269</v>
      </c>
      <c r="B146" s="149"/>
      <c r="C146" s="124"/>
      <c r="D146" s="124"/>
      <c r="E146" s="124"/>
      <c r="F146" s="124"/>
      <c r="G146" s="124"/>
      <c r="H146" s="126"/>
    </row>
    <row r="147" spans="1:8" ht="24.95" customHeight="1" x14ac:dyDescent="0.25">
      <c r="A147" s="3" t="s">
        <v>270</v>
      </c>
      <c r="B147" s="147"/>
      <c r="C147" s="11"/>
      <c r="D147" s="11"/>
      <c r="E147" s="11"/>
      <c r="F147" s="124"/>
      <c r="G147" s="11"/>
      <c r="H147" s="166"/>
    </row>
    <row r="148" spans="1:8" ht="24.95" customHeight="1" x14ac:dyDescent="0.25">
      <c r="A148" s="3" t="s">
        <v>271</v>
      </c>
      <c r="B148" s="147"/>
      <c r="C148" s="11"/>
      <c r="D148" s="11"/>
      <c r="E148" s="11"/>
      <c r="F148" s="124"/>
      <c r="G148" s="11"/>
      <c r="H148" s="166"/>
    </row>
    <row r="149" spans="1:8" ht="24.95" customHeight="1" x14ac:dyDescent="0.25">
      <c r="A149" s="3" t="s">
        <v>231</v>
      </c>
      <c r="B149" s="147"/>
      <c r="C149" s="11"/>
      <c r="D149" s="66"/>
      <c r="E149" s="11"/>
      <c r="F149" s="124"/>
      <c r="G149" s="125"/>
      <c r="H149" s="166"/>
    </row>
    <row r="150" spans="1:8" ht="24.95" customHeight="1" x14ac:dyDescent="0.25">
      <c r="A150" s="3" t="s">
        <v>243</v>
      </c>
      <c r="B150" s="149"/>
      <c r="C150" s="124"/>
      <c r="D150" s="124"/>
      <c r="E150" s="124"/>
      <c r="F150" s="124"/>
      <c r="G150" s="124"/>
      <c r="H150" s="126"/>
    </row>
    <row r="151" spans="1:8" ht="24.95" customHeight="1" x14ac:dyDescent="0.25">
      <c r="A151" s="3" t="s">
        <v>223</v>
      </c>
      <c r="B151" s="147"/>
      <c r="C151" s="21"/>
      <c r="D151" s="21"/>
      <c r="E151" s="21"/>
      <c r="F151" s="21"/>
      <c r="G151" s="11"/>
      <c r="H151" s="166"/>
    </row>
    <row r="152" spans="1:8" ht="24.95" customHeight="1" x14ac:dyDescent="0.25">
      <c r="A152" s="3" t="s">
        <v>246</v>
      </c>
      <c r="B152" s="147"/>
      <c r="C152" s="124"/>
      <c r="D152" s="124"/>
      <c r="E152" s="124"/>
      <c r="F152" s="124"/>
      <c r="G152" s="124"/>
      <c r="H152" s="166"/>
    </row>
    <row r="153" spans="1:8" ht="24.95" customHeight="1" x14ac:dyDescent="0.25">
      <c r="A153" s="3" t="s">
        <v>244</v>
      </c>
      <c r="B153" s="147"/>
      <c r="C153" s="11"/>
      <c r="D153" s="11"/>
      <c r="E153" s="11"/>
      <c r="F153" s="21"/>
      <c r="G153" s="11"/>
      <c r="H153" s="166"/>
    </row>
    <row r="154" spans="1:8" ht="24.95" customHeight="1" x14ac:dyDescent="0.25">
      <c r="A154" s="3" t="s">
        <v>245</v>
      </c>
      <c r="B154" s="147"/>
      <c r="C154" s="21"/>
      <c r="D154" s="21"/>
      <c r="E154" s="21"/>
      <c r="F154" s="124"/>
      <c r="G154" s="21"/>
      <c r="H154" s="166"/>
    </row>
    <row r="155" spans="1:8" ht="24.95" customHeight="1" x14ac:dyDescent="0.25">
      <c r="A155" s="3" t="s">
        <v>247</v>
      </c>
      <c r="B155" s="147" t="s">
        <v>302</v>
      </c>
      <c r="C155" s="21" t="s">
        <v>59</v>
      </c>
      <c r="D155" s="124">
        <v>15</v>
      </c>
      <c r="E155" s="124"/>
      <c r="F155" s="124" t="s">
        <v>319</v>
      </c>
      <c r="G155" s="123" t="s">
        <v>276</v>
      </c>
      <c r="H155" s="166"/>
    </row>
    <row r="156" spans="1:8" ht="24.95" customHeight="1" x14ac:dyDescent="0.25">
      <c r="A156" s="79"/>
      <c r="B156" s="88"/>
      <c r="C156" s="114"/>
      <c r="D156" s="114"/>
      <c r="E156" s="114"/>
      <c r="F156" s="114"/>
      <c r="G156" s="114"/>
      <c r="H156" s="88"/>
    </row>
    <row r="157" spans="1:8" ht="24.95" customHeight="1" x14ac:dyDescent="0.25">
      <c r="G157" s="1" t="s">
        <v>198</v>
      </c>
    </row>
    <row r="158" spans="1:8" ht="24.95" customHeight="1" x14ac:dyDescent="0.25"/>
    <row r="159" spans="1:8" ht="24.95" customHeight="1" x14ac:dyDescent="0.25"/>
    <row r="160" spans="1:8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</sheetData>
  <mergeCells count="16">
    <mergeCell ref="A1:H3"/>
    <mergeCell ref="A4:H4"/>
    <mergeCell ref="A6:E6"/>
    <mergeCell ref="G6:H6"/>
    <mergeCell ref="A19:H19"/>
    <mergeCell ref="A5:H5"/>
    <mergeCell ref="A106:H106"/>
    <mergeCell ref="A107:E107"/>
    <mergeCell ref="G107:H107"/>
    <mergeCell ref="A20:E20"/>
    <mergeCell ref="G20:H20"/>
    <mergeCell ref="A66:E66"/>
    <mergeCell ref="G66:H66"/>
    <mergeCell ref="A99:H99"/>
    <mergeCell ref="A87:H87"/>
    <mergeCell ref="A65:H65"/>
  </mergeCells>
  <pageMargins left="0.7" right="0.7" top="0.75" bottom="0.75" header="0.3" footer="0.3"/>
  <pageSetup paperSize="9" scale="85" orientation="landscape" r:id="rId1"/>
  <rowBreaks count="2" manualBreakCount="2">
    <brk id="17" max="16383" man="1"/>
    <brk id="6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P109"/>
  <sheetViews>
    <sheetView zoomScaleNormal="100" workbookViewId="0">
      <selection activeCell="F20" sqref="F20"/>
    </sheetView>
  </sheetViews>
  <sheetFormatPr defaultRowHeight="14.25" customHeight="1" x14ac:dyDescent="0.25"/>
  <cols>
    <col min="1" max="1" width="8.140625" style="5" customWidth="1"/>
    <col min="2" max="2" width="36.7109375" style="99" customWidth="1"/>
    <col min="3" max="3" width="10.5703125" style="5" customWidth="1"/>
    <col min="4" max="4" width="5.85546875" style="5" customWidth="1"/>
    <col min="5" max="5" width="5.7109375" style="5" customWidth="1"/>
    <col min="6" max="6" width="18" style="76" customWidth="1"/>
    <col min="7" max="7" width="13.5703125" style="5" customWidth="1"/>
    <col min="8" max="16384" width="9.140625" style="5"/>
  </cols>
  <sheetData>
    <row r="1" spans="1:16" ht="14.25" customHeight="1" x14ac:dyDescent="0.25">
      <c r="A1" s="212" t="s">
        <v>131</v>
      </c>
      <c r="B1" s="212"/>
      <c r="C1" s="212"/>
      <c r="D1" s="212"/>
      <c r="E1" s="212"/>
      <c r="F1" s="212"/>
      <c r="G1" s="212"/>
      <c r="H1" s="4"/>
      <c r="I1" s="4"/>
      <c r="J1" s="4"/>
      <c r="K1" s="4"/>
      <c r="L1" s="4"/>
      <c r="M1" s="4"/>
    </row>
    <row r="2" spans="1:16" ht="7.5" customHeight="1" x14ac:dyDescent="0.25">
      <c r="A2" s="212"/>
      <c r="B2" s="212"/>
      <c r="C2" s="212"/>
      <c r="D2" s="212"/>
      <c r="E2" s="212"/>
      <c r="F2" s="212"/>
      <c r="G2" s="212"/>
      <c r="H2" s="4"/>
      <c r="I2" s="4"/>
      <c r="J2" s="4"/>
      <c r="K2" s="4"/>
      <c r="L2" s="4"/>
      <c r="M2" s="4"/>
    </row>
    <row r="3" spans="1:16" ht="14.25" customHeight="1" thickBot="1" x14ac:dyDescent="0.3">
      <c r="A3" s="213" t="str">
        <f>MAPA!A4</f>
        <v xml:space="preserve">DATA : 10/10/2019   </v>
      </c>
      <c r="B3" s="213"/>
      <c r="C3" s="213"/>
      <c r="D3" s="213"/>
      <c r="E3" s="213"/>
      <c r="F3" s="213"/>
      <c r="G3" s="213"/>
      <c r="H3" s="6"/>
      <c r="I3" s="6"/>
      <c r="J3" s="6"/>
      <c r="K3" s="6"/>
      <c r="L3" s="6"/>
      <c r="M3" s="6"/>
      <c r="N3" s="6"/>
      <c r="O3" s="6"/>
      <c r="P3" s="6"/>
    </row>
    <row r="4" spans="1:16" s="88" customFormat="1" ht="14.25" customHeight="1" x14ac:dyDescent="0.25">
      <c r="A4" s="214" t="s">
        <v>53</v>
      </c>
      <c r="B4" s="215"/>
      <c r="C4" s="215"/>
      <c r="D4" s="215"/>
      <c r="E4" s="215"/>
      <c r="F4" s="215"/>
      <c r="G4" s="216"/>
      <c r="H4" s="87"/>
      <c r="I4" s="87"/>
      <c r="J4" s="87"/>
      <c r="K4" s="87"/>
      <c r="L4" s="87"/>
      <c r="M4" s="87"/>
      <c r="N4" s="87"/>
      <c r="O4" s="87"/>
      <c r="P4" s="87"/>
    </row>
    <row r="5" spans="1:16" s="90" customFormat="1" ht="9" customHeight="1" x14ac:dyDescent="0.25">
      <c r="A5" s="200" t="str">
        <f>A1</f>
        <v>PROTOCOLO DE ENTREGA</v>
      </c>
      <c r="B5" s="201"/>
      <c r="C5" s="89" t="s">
        <v>8</v>
      </c>
      <c r="D5" s="202" t="str">
        <f>MAPA!A4</f>
        <v xml:space="preserve">DATA : 10/10/2019   </v>
      </c>
      <c r="E5" s="203"/>
      <c r="F5" s="204" t="s">
        <v>193</v>
      </c>
      <c r="G5" s="205"/>
    </row>
    <row r="6" spans="1:16" s="95" customFormat="1" ht="14.25" customHeight="1" x14ac:dyDescent="0.25">
      <c r="A6" s="91" t="s">
        <v>2</v>
      </c>
      <c r="B6" s="96" t="s">
        <v>3</v>
      </c>
      <c r="C6" s="93" t="s">
        <v>57</v>
      </c>
      <c r="D6" s="92" t="s">
        <v>9</v>
      </c>
      <c r="E6" s="92" t="s">
        <v>1</v>
      </c>
      <c r="F6" s="93" t="s">
        <v>6</v>
      </c>
      <c r="G6" s="94" t="s">
        <v>121</v>
      </c>
    </row>
    <row r="7" spans="1:16" ht="14.25" customHeight="1" x14ac:dyDescent="0.25">
      <c r="A7" s="16">
        <v>4001</v>
      </c>
      <c r="B7" s="97" t="str">
        <f>MAPA!B8</f>
        <v>OTAVIO DA SILVEIRA LEMOS,6M</v>
      </c>
      <c r="C7" s="66">
        <f>MAPA!D8</f>
        <v>120</v>
      </c>
      <c r="D7" s="66" t="str">
        <f>MAPA!C8</f>
        <v>SNE</v>
      </c>
      <c r="E7" s="66">
        <f>MAPA!E8</f>
        <v>0</v>
      </c>
      <c r="F7" s="78" t="str">
        <f>MAPA!F8</f>
        <v>FL HIDROLISADA (15,9%)</v>
      </c>
      <c r="G7" s="81"/>
    </row>
    <row r="8" spans="1:16" ht="14.25" customHeight="1" x14ac:dyDescent="0.25">
      <c r="A8" s="16">
        <v>4002</v>
      </c>
      <c r="B8" s="97" t="str">
        <f>MAPA!B9</f>
        <v>BEATRIZ RUAS DA SILVA, 1A11M</v>
      </c>
      <c r="C8" s="66">
        <f>MAPA!D9</f>
        <v>90</v>
      </c>
      <c r="D8" s="66" t="str">
        <f>MAPA!C9</f>
        <v>SNE</v>
      </c>
      <c r="E8" s="66">
        <f>MAPA!E9</f>
        <v>0</v>
      </c>
      <c r="F8" s="78" t="str">
        <f>MAPA!F9</f>
        <v>FORTINI</v>
      </c>
      <c r="G8" s="80"/>
    </row>
    <row r="9" spans="1:16" ht="14.25" customHeight="1" x14ac:dyDescent="0.25">
      <c r="A9" s="16">
        <v>4003</v>
      </c>
      <c r="B9" s="97" t="str">
        <f>MAPA!B10</f>
        <v>ANTHONIA JULIA RANZAN  2A5M</v>
      </c>
      <c r="C9" s="66">
        <f>MAPA!D10</f>
        <v>240</v>
      </c>
      <c r="D9" s="66" t="str">
        <f>MAPA!C10</f>
        <v>VO</v>
      </c>
      <c r="E9" s="66">
        <f>MAPA!E10</f>
        <v>0</v>
      </c>
      <c r="F9" s="78" t="str">
        <f>MAPA!F10</f>
        <v>LV + ACHOCOLATADO</v>
      </c>
      <c r="G9" s="81"/>
    </row>
    <row r="10" spans="1:16" ht="14.25" customHeight="1" x14ac:dyDescent="0.25">
      <c r="A10" s="16">
        <v>4004</v>
      </c>
      <c r="B10" s="97" t="str">
        <f>MAPA!B11</f>
        <v>KEIVID LUAN KLAUCK 11A</v>
      </c>
      <c r="C10" s="66">
        <f>MAPA!D11</f>
        <v>60</v>
      </c>
      <c r="D10" s="66" t="str">
        <f>MAPA!C11</f>
        <v>SNE</v>
      </c>
      <c r="E10" s="66">
        <f>MAPA!E11</f>
        <v>0</v>
      </c>
      <c r="F10" s="78" t="str">
        <f>MAPA!F11</f>
        <v>FL HIDROLISADA</v>
      </c>
      <c r="G10" s="81"/>
    </row>
    <row r="11" spans="1:16" ht="14.25" customHeight="1" x14ac:dyDescent="0.25">
      <c r="A11" s="16">
        <v>4005</v>
      </c>
      <c r="B11" s="97" t="str">
        <f>MAPA!B12</f>
        <v>BIANCA GABRIELLY MACHADO, 6M</v>
      </c>
      <c r="C11" s="66">
        <f>MAPA!D12</f>
        <v>70</v>
      </c>
      <c r="D11" s="66" t="str">
        <f>MAPA!C12</f>
        <v>SNE</v>
      </c>
      <c r="E11" s="66">
        <f>MAPA!E12</f>
        <v>0</v>
      </c>
      <c r="F11" s="78" t="str">
        <f>MAPA!F12</f>
        <v>FL 1º SEMESTRE</v>
      </c>
      <c r="G11" s="81"/>
    </row>
    <row r="12" spans="1:16" ht="14.25" customHeight="1" x14ac:dyDescent="0.25">
      <c r="A12" s="16">
        <v>4006</v>
      </c>
      <c r="B12" s="97">
        <f>MAPA!B13</f>
        <v>0</v>
      </c>
      <c r="C12" s="66">
        <f>MAPA!D13</f>
        <v>0</v>
      </c>
      <c r="D12" s="66">
        <f>MAPA!C13</f>
        <v>0</v>
      </c>
      <c r="E12" s="66">
        <f>MAPA!E13</f>
        <v>0</v>
      </c>
      <c r="F12" s="78">
        <f>MAPA!F13</f>
        <v>0</v>
      </c>
      <c r="G12" s="81"/>
    </row>
    <row r="13" spans="1:16" ht="14.25" customHeight="1" x14ac:dyDescent="0.25">
      <c r="A13" s="16">
        <v>4007</v>
      </c>
      <c r="B13" s="97">
        <f>MAPA!B14</f>
        <v>0</v>
      </c>
      <c r="C13" s="66">
        <f>MAPA!D14</f>
        <v>0</v>
      </c>
      <c r="D13" s="66">
        <f>MAPA!C14</f>
        <v>0</v>
      </c>
      <c r="E13" s="66">
        <f>MAPA!E14</f>
        <v>0</v>
      </c>
      <c r="F13" s="174" t="s">
        <v>281</v>
      </c>
      <c r="G13" s="125"/>
    </row>
    <row r="14" spans="1:16" ht="14.25" customHeight="1" x14ac:dyDescent="0.25">
      <c r="A14" s="16">
        <v>4008</v>
      </c>
      <c r="B14" s="97" t="str">
        <f>MAPA!B15</f>
        <v>MARIA FLORÊNCIA A. M. DUARTE, 2A3M</v>
      </c>
      <c r="C14" s="66">
        <f>MAPA!D15</f>
        <v>100</v>
      </c>
      <c r="D14" s="66" t="str">
        <f>MAPA!C15</f>
        <v>SNE</v>
      </c>
      <c r="E14" s="66" t="str">
        <f>MAPA!E15</f>
        <v>-</v>
      </c>
      <c r="F14" s="78" t="str">
        <f>MAPA!F15</f>
        <v>FORTINI</v>
      </c>
      <c r="G14" s="80"/>
      <c r="I14" s="5" t="s">
        <v>202</v>
      </c>
    </row>
    <row r="15" spans="1:16" ht="14.25" customHeight="1" x14ac:dyDescent="0.25">
      <c r="A15" s="16">
        <v>4009</v>
      </c>
      <c r="B15" s="97">
        <f>MAPA!B16</f>
        <v>0</v>
      </c>
      <c r="C15" s="66">
        <f>MAPA!D16</f>
        <v>0</v>
      </c>
      <c r="D15" s="66">
        <f>MAPA!C16</f>
        <v>0</v>
      </c>
      <c r="E15" s="66">
        <f>MAPA!E16</f>
        <v>0</v>
      </c>
      <c r="F15" s="78">
        <f>MAPA!F16</f>
        <v>0</v>
      </c>
      <c r="G15" s="80"/>
    </row>
    <row r="16" spans="1:16" ht="14.25" customHeight="1" thickBot="1" x14ac:dyDescent="0.3">
      <c r="A16" s="17">
        <v>4010</v>
      </c>
      <c r="B16" s="98" t="str">
        <f>MAPA!B17</f>
        <v>ALICE MANUELLA DORNELES, 8M</v>
      </c>
      <c r="C16" s="82">
        <f>MAPA!D17</f>
        <v>140</v>
      </c>
      <c r="D16" s="82" t="str">
        <f>MAPA!C17</f>
        <v>SNE</v>
      </c>
      <c r="E16" s="82">
        <f>MAPA!E17</f>
        <v>0</v>
      </c>
      <c r="F16" s="83" t="str">
        <f>MAPA!F17</f>
        <v>FL AA + MMD ROSA COMUM</v>
      </c>
      <c r="G16" s="84"/>
    </row>
    <row r="17" spans="1:7" ht="9.75" customHeight="1" thickBot="1" x14ac:dyDescent="0.3"/>
    <row r="18" spans="1:7" ht="14.25" customHeight="1" x14ac:dyDescent="0.25">
      <c r="A18" s="206" t="s">
        <v>52</v>
      </c>
      <c r="B18" s="207"/>
      <c r="C18" s="207"/>
      <c r="D18" s="207"/>
      <c r="E18" s="207"/>
      <c r="F18" s="207"/>
      <c r="G18" s="208"/>
    </row>
    <row r="19" spans="1:7" s="90" customFormat="1" ht="14.25" customHeight="1" x14ac:dyDescent="0.25">
      <c r="A19" s="200" t="str">
        <f>A5</f>
        <v>PROTOCOLO DE ENTREGA</v>
      </c>
      <c r="B19" s="201"/>
      <c r="C19" s="89" t="s">
        <v>8</v>
      </c>
      <c r="D19" s="202" t="str">
        <f>MAPA!A4</f>
        <v xml:space="preserve">DATA : 10/10/2019   </v>
      </c>
      <c r="E19" s="203"/>
      <c r="F19" s="204" t="s">
        <v>193</v>
      </c>
      <c r="G19" s="205"/>
    </row>
    <row r="20" spans="1:7" s="95" customFormat="1" ht="14.25" customHeight="1" x14ac:dyDescent="0.25">
      <c r="A20" s="91" t="s">
        <v>2</v>
      </c>
      <c r="B20" s="96" t="s">
        <v>3</v>
      </c>
      <c r="C20" s="93" t="s">
        <v>57</v>
      </c>
      <c r="D20" s="92" t="s">
        <v>9</v>
      </c>
      <c r="E20" s="92" t="s">
        <v>1</v>
      </c>
      <c r="F20" s="93" t="s">
        <v>6</v>
      </c>
      <c r="G20" s="94" t="s">
        <v>121</v>
      </c>
    </row>
    <row r="21" spans="1:7" ht="14.25" customHeight="1" x14ac:dyDescent="0.25">
      <c r="A21" s="16" t="s">
        <v>10</v>
      </c>
      <c r="B21" s="97" t="str">
        <f>MAPA!B22</f>
        <v>LOUISE REOLON CHUVAS, 4A</v>
      </c>
      <c r="C21" s="66">
        <f>MAPA!D22</f>
        <v>240</v>
      </c>
      <c r="D21" s="66" t="str">
        <f>MAPA!C22</f>
        <v>VO</v>
      </c>
      <c r="E21" s="66">
        <f>MAPA!E22</f>
        <v>0</v>
      </c>
      <c r="F21" s="78" t="str">
        <f>MAPA!F22</f>
        <v>LV+ACHOCOLATADO</v>
      </c>
      <c r="G21" s="81"/>
    </row>
    <row r="22" spans="1:7" ht="14.25" customHeight="1" x14ac:dyDescent="0.25">
      <c r="A22" s="16" t="s">
        <v>11</v>
      </c>
      <c r="B22" s="97">
        <f>MAPA!B23</f>
        <v>0</v>
      </c>
      <c r="C22" s="66">
        <f>MAPA!D23</f>
        <v>0</v>
      </c>
      <c r="D22" s="66">
        <f>MAPA!C23</f>
        <v>0</v>
      </c>
      <c r="E22" s="66">
        <f>MAPA!E23</f>
        <v>0</v>
      </c>
      <c r="F22" s="78">
        <f>MAPA!F23</f>
        <v>0</v>
      </c>
      <c r="G22" s="81"/>
    </row>
    <row r="23" spans="1:7" ht="14.25" customHeight="1" x14ac:dyDescent="0.25">
      <c r="A23" s="16" t="s">
        <v>12</v>
      </c>
      <c r="B23" s="97">
        <f>MAPA!B24</f>
        <v>0</v>
      </c>
      <c r="C23" s="66">
        <f>MAPA!D24</f>
        <v>0</v>
      </c>
      <c r="D23" s="66">
        <f>MAPA!C24</f>
        <v>0</v>
      </c>
      <c r="E23" s="66">
        <f>MAPA!E24</f>
        <v>0</v>
      </c>
      <c r="F23" s="78">
        <f>MAPA!F24</f>
        <v>0</v>
      </c>
      <c r="G23" s="81"/>
    </row>
    <row r="24" spans="1:7" ht="14.25" customHeight="1" x14ac:dyDescent="0.25">
      <c r="A24" s="16" t="s">
        <v>13</v>
      </c>
      <c r="B24" s="97">
        <f>MAPA!B25</f>
        <v>0</v>
      </c>
      <c r="C24" s="66">
        <f>MAPA!D25</f>
        <v>0</v>
      </c>
      <c r="D24" s="66">
        <f>MAPA!C25</f>
        <v>0</v>
      </c>
      <c r="E24" s="66">
        <f>MAPA!E25</f>
        <v>0</v>
      </c>
      <c r="F24" s="78">
        <f>MAPA!F25</f>
        <v>0</v>
      </c>
      <c r="G24" s="80"/>
    </row>
    <row r="25" spans="1:7" ht="14.25" customHeight="1" x14ac:dyDescent="0.25">
      <c r="A25" s="16" t="s">
        <v>14</v>
      </c>
      <c r="B25" s="97" t="str">
        <f>MAPA!B26</f>
        <v>LUIZ FELIPE ELIAS SILVA, 9M</v>
      </c>
      <c r="C25" s="66">
        <f>MAPA!D26</f>
        <v>200</v>
      </c>
      <c r="D25" s="66" t="str">
        <f>MAPA!C26</f>
        <v>VO</v>
      </c>
      <c r="E25" s="66">
        <f>MAPA!E26</f>
        <v>0</v>
      </c>
      <c r="F25" s="78" t="str">
        <f>MAPA!F26</f>
        <v>FL 2º SEMESTRE</v>
      </c>
      <c r="G25" s="81"/>
    </row>
    <row r="26" spans="1:7" ht="14.25" customHeight="1" x14ac:dyDescent="0.25">
      <c r="A26" s="16" t="s">
        <v>15</v>
      </c>
      <c r="B26" s="97">
        <f>MAPA!B27</f>
        <v>0</v>
      </c>
      <c r="C26" s="66">
        <f>MAPA!D27</f>
        <v>0</v>
      </c>
      <c r="D26" s="66">
        <f>MAPA!C27</f>
        <v>0</v>
      </c>
      <c r="E26" s="66">
        <f>MAPA!E27</f>
        <v>0</v>
      </c>
      <c r="F26" s="78">
        <f>MAPA!F27</f>
        <v>0</v>
      </c>
      <c r="G26" s="81"/>
    </row>
    <row r="27" spans="1:7" ht="14.25" customHeight="1" x14ac:dyDescent="0.25">
      <c r="A27" s="16" t="s">
        <v>16</v>
      </c>
      <c r="B27" s="97">
        <f>MAPA!B28</f>
        <v>0</v>
      </c>
      <c r="C27" s="66">
        <f>MAPA!D28</f>
        <v>0</v>
      </c>
      <c r="D27" s="66">
        <f>MAPA!C28</f>
        <v>0</v>
      </c>
      <c r="E27" s="66">
        <f>MAPA!E28</f>
        <v>0</v>
      </c>
      <c r="F27" s="78">
        <f>MAPA!F28</f>
        <v>0</v>
      </c>
      <c r="G27" s="81"/>
    </row>
    <row r="28" spans="1:7" ht="14.25" customHeight="1" x14ac:dyDescent="0.25">
      <c r="A28" s="16" t="s">
        <v>17</v>
      </c>
      <c r="B28" s="97">
        <f>MAPA!B29</f>
        <v>0</v>
      </c>
      <c r="C28" s="66">
        <f>MAPA!D29</f>
        <v>0</v>
      </c>
      <c r="D28" s="66">
        <f>MAPA!C29</f>
        <v>0</v>
      </c>
      <c r="E28" s="66">
        <f>MAPA!E29</f>
        <v>0</v>
      </c>
      <c r="F28" s="78">
        <f>MAPA!F30</f>
        <v>0</v>
      </c>
      <c r="G28" s="81"/>
    </row>
    <row r="29" spans="1:7" ht="14.25" customHeight="1" x14ac:dyDescent="0.25">
      <c r="A29" s="16" t="s">
        <v>18</v>
      </c>
      <c r="B29" s="97">
        <f>MAPA!B30</f>
        <v>0</v>
      </c>
      <c r="C29" s="66">
        <f>MAPA!D30</f>
        <v>0</v>
      </c>
      <c r="D29" s="66">
        <f>MAPA!C30</f>
        <v>0</v>
      </c>
      <c r="E29" s="66">
        <f>MAPA!E30</f>
        <v>0</v>
      </c>
      <c r="F29" s="78" t="e">
        <f>MAPA!#REF!</f>
        <v>#REF!</v>
      </c>
      <c r="G29" s="81"/>
    </row>
    <row r="30" spans="1:7" ht="14.25" customHeight="1" x14ac:dyDescent="0.25">
      <c r="A30" s="16" t="s">
        <v>19</v>
      </c>
      <c r="B30" s="97">
        <f>MAPA!B31</f>
        <v>0</v>
      </c>
      <c r="C30" s="66">
        <f>MAPA!D31</f>
        <v>0</v>
      </c>
      <c r="D30" s="66">
        <f>MAPA!C31</f>
        <v>0</v>
      </c>
      <c r="E30" s="66">
        <f>MAPA!E31</f>
        <v>0</v>
      </c>
      <c r="F30" s="78">
        <f>MAPA!F31</f>
        <v>0</v>
      </c>
      <c r="G30" s="81"/>
    </row>
    <row r="31" spans="1:7" ht="14.25" customHeight="1" x14ac:dyDescent="0.25">
      <c r="A31" s="16" t="s">
        <v>20</v>
      </c>
      <c r="B31" s="97">
        <f>MAPA!B32</f>
        <v>0</v>
      </c>
      <c r="C31" s="66">
        <f>MAPA!D32</f>
        <v>0</v>
      </c>
      <c r="D31" s="66">
        <f>MAPA!C32</f>
        <v>0</v>
      </c>
      <c r="E31" s="66">
        <f>MAPA!E32</f>
        <v>0</v>
      </c>
      <c r="F31" s="78">
        <f>MAPA!F32</f>
        <v>0</v>
      </c>
      <c r="G31" s="81"/>
    </row>
    <row r="32" spans="1:7" ht="14.25" customHeight="1" x14ac:dyDescent="0.25">
      <c r="A32" s="16" t="s">
        <v>21</v>
      </c>
      <c r="B32" s="97">
        <f>MAPA!B33</f>
        <v>0</v>
      </c>
      <c r="C32" s="66">
        <f>MAPA!D33</f>
        <v>0</v>
      </c>
      <c r="D32" s="66">
        <f>MAPA!C33</f>
        <v>0</v>
      </c>
      <c r="E32" s="66">
        <f>MAPA!E33</f>
        <v>0</v>
      </c>
      <c r="F32" s="78">
        <f>MAPA!F33</f>
        <v>0</v>
      </c>
      <c r="G32" s="81"/>
    </row>
    <row r="33" spans="1:7" ht="14.25" customHeight="1" x14ac:dyDescent="0.25">
      <c r="A33" s="16" t="s">
        <v>22</v>
      </c>
      <c r="B33" s="97">
        <f>MAPA!B34</f>
        <v>0</v>
      </c>
      <c r="C33" s="66">
        <f>MAPA!D34</f>
        <v>0</v>
      </c>
      <c r="D33" s="66">
        <f>MAPA!C34</f>
        <v>0</v>
      </c>
      <c r="E33" s="66">
        <f>MAPA!E34</f>
        <v>0</v>
      </c>
      <c r="F33" s="78">
        <f>MAPA!F34</f>
        <v>0</v>
      </c>
      <c r="G33" s="80"/>
    </row>
    <row r="34" spans="1:7" ht="14.25" customHeight="1" x14ac:dyDescent="0.25">
      <c r="A34" s="16" t="s">
        <v>23</v>
      </c>
      <c r="B34" s="97">
        <f>MAPA!B35</f>
        <v>0</v>
      </c>
      <c r="C34" s="66">
        <f>MAPA!D35</f>
        <v>0</v>
      </c>
      <c r="D34" s="66">
        <f>MAPA!C35</f>
        <v>0</v>
      </c>
      <c r="E34" s="66">
        <f>MAPA!E35</f>
        <v>0</v>
      </c>
      <c r="F34" s="78">
        <f>MAPA!F35</f>
        <v>0</v>
      </c>
      <c r="G34" s="81"/>
    </row>
    <row r="35" spans="1:7" ht="14.25" customHeight="1" x14ac:dyDescent="0.25">
      <c r="A35" s="16" t="s">
        <v>24</v>
      </c>
      <c r="B35" s="97">
        <f>MAPA!B36</f>
        <v>0</v>
      </c>
      <c r="C35" s="66">
        <f>MAPA!D36</f>
        <v>0</v>
      </c>
      <c r="D35" s="66">
        <f>MAPA!C36</f>
        <v>0</v>
      </c>
      <c r="E35" s="66">
        <f>MAPA!E36</f>
        <v>0</v>
      </c>
      <c r="F35" s="78">
        <f>MAPA!F36</f>
        <v>0</v>
      </c>
      <c r="G35" s="81"/>
    </row>
    <row r="36" spans="1:7" ht="14.25" customHeight="1" x14ac:dyDescent="0.25">
      <c r="A36" s="16" t="s">
        <v>25</v>
      </c>
      <c r="B36" s="97" t="str">
        <f>MAPA!B37</f>
        <v>ISABELA COUTO 2A</v>
      </c>
      <c r="C36" s="66">
        <f>MAPA!D37</f>
        <v>240</v>
      </c>
      <c r="D36" s="66" t="str">
        <f>MAPA!C37</f>
        <v>VO</v>
      </c>
      <c r="E36" s="66">
        <f>MAPA!E37</f>
        <v>0</v>
      </c>
      <c r="F36" s="78" t="str">
        <f>MAPA!F37</f>
        <v>LV+ACHO</v>
      </c>
      <c r="G36" s="81"/>
    </row>
    <row r="37" spans="1:7" ht="14.25" customHeight="1" x14ac:dyDescent="0.25">
      <c r="A37" s="16" t="s">
        <v>26</v>
      </c>
      <c r="B37" s="97">
        <f>MAPA!B38</f>
        <v>0</v>
      </c>
      <c r="C37" s="66">
        <f>MAPA!D38</f>
        <v>0</v>
      </c>
      <c r="D37" s="66">
        <f>MAPA!C38</f>
        <v>0</v>
      </c>
      <c r="E37" s="66">
        <f>MAPA!E38</f>
        <v>0</v>
      </c>
      <c r="F37" s="78">
        <f>MAPA!F38</f>
        <v>0</v>
      </c>
      <c r="G37" s="81"/>
    </row>
    <row r="38" spans="1:7" ht="14.25" customHeight="1" x14ac:dyDescent="0.25">
      <c r="A38" s="16" t="s">
        <v>27</v>
      </c>
      <c r="B38" s="97">
        <f>MAPA!B39</f>
        <v>0</v>
      </c>
      <c r="C38" s="66">
        <f>MAPA!D39</f>
        <v>0</v>
      </c>
      <c r="D38" s="66">
        <f>MAPA!C39</f>
        <v>0</v>
      </c>
      <c r="E38" s="66">
        <f>MAPA!E39</f>
        <v>0</v>
      </c>
      <c r="F38" s="78">
        <f>MAPA!F39</f>
        <v>0</v>
      </c>
      <c r="G38" s="81"/>
    </row>
    <row r="39" spans="1:7" ht="14.25" customHeight="1" x14ac:dyDescent="0.25">
      <c r="A39" s="16" t="s">
        <v>28</v>
      </c>
      <c r="B39" s="97">
        <f>MAPA!B40</f>
        <v>0</v>
      </c>
      <c r="C39" s="66">
        <f>MAPA!D40</f>
        <v>0</v>
      </c>
      <c r="D39" s="66">
        <f>MAPA!C40</f>
        <v>0</v>
      </c>
      <c r="E39" s="66">
        <f>MAPA!E40</f>
        <v>0</v>
      </c>
      <c r="F39" s="78">
        <f>MAPA!F40</f>
        <v>0</v>
      </c>
      <c r="G39" s="81"/>
    </row>
    <row r="40" spans="1:7" ht="14.25" customHeight="1" x14ac:dyDescent="0.25">
      <c r="A40" s="16" t="s">
        <v>29</v>
      </c>
      <c r="B40" s="97">
        <f>MAPA!B41</f>
        <v>0</v>
      </c>
      <c r="C40" s="66">
        <f>MAPA!D41</f>
        <v>0</v>
      </c>
      <c r="D40" s="66">
        <f>MAPA!C41</f>
        <v>0</v>
      </c>
      <c r="E40" s="66">
        <f>MAPA!E41</f>
        <v>0</v>
      </c>
      <c r="F40" s="78">
        <f>MAPA!F41</f>
        <v>0</v>
      </c>
      <c r="G40" s="81"/>
    </row>
    <row r="41" spans="1:7" ht="14.25" customHeight="1" x14ac:dyDescent="0.25">
      <c r="A41" s="16" t="s">
        <v>30</v>
      </c>
      <c r="B41" s="97">
        <f>MAPA!B42</f>
        <v>0</v>
      </c>
      <c r="C41" s="66">
        <f>MAPA!D42</f>
        <v>0</v>
      </c>
      <c r="D41" s="66">
        <f>MAPA!C42</f>
        <v>0</v>
      </c>
      <c r="E41" s="66">
        <f>MAPA!E42</f>
        <v>0</v>
      </c>
      <c r="F41" s="78">
        <f>MAPA!F42</f>
        <v>0</v>
      </c>
      <c r="G41" s="81"/>
    </row>
    <row r="42" spans="1:7" ht="14.25" customHeight="1" x14ac:dyDescent="0.25">
      <c r="A42" s="16" t="s">
        <v>31</v>
      </c>
      <c r="B42" s="97">
        <f>MAPA!B43</f>
        <v>0</v>
      </c>
      <c r="C42" s="66">
        <f>MAPA!D43</f>
        <v>0</v>
      </c>
      <c r="D42" s="66">
        <f>MAPA!C43</f>
        <v>0</v>
      </c>
      <c r="E42" s="66">
        <f>MAPA!E43</f>
        <v>0</v>
      </c>
      <c r="F42" s="78">
        <f>MAPA!F43</f>
        <v>0</v>
      </c>
      <c r="G42" s="80"/>
    </row>
    <row r="43" spans="1:7" ht="14.25" customHeight="1" x14ac:dyDescent="0.25">
      <c r="A43" s="16" t="s">
        <v>32</v>
      </c>
      <c r="B43" s="97">
        <f>MAPA!B44</f>
        <v>0</v>
      </c>
      <c r="C43" s="66">
        <f>MAPA!D44</f>
        <v>0</v>
      </c>
      <c r="D43" s="66">
        <f>MAPA!C44</f>
        <v>0</v>
      </c>
      <c r="E43" s="66">
        <f>MAPA!E44</f>
        <v>0</v>
      </c>
      <c r="F43" s="78">
        <f>MAPA!F44</f>
        <v>0</v>
      </c>
      <c r="G43" s="81"/>
    </row>
    <row r="44" spans="1:7" ht="14.25" customHeight="1" x14ac:dyDescent="0.25">
      <c r="A44" s="16" t="s">
        <v>33</v>
      </c>
      <c r="B44" s="97">
        <f>MAPA!B45</f>
        <v>0</v>
      </c>
      <c r="C44" s="66">
        <f>MAPA!D45</f>
        <v>0</v>
      </c>
      <c r="D44" s="66">
        <f>MAPA!C45</f>
        <v>0</v>
      </c>
      <c r="E44" s="66">
        <f>MAPA!E45</f>
        <v>0</v>
      </c>
      <c r="F44" s="78">
        <f>MAPA!F45</f>
        <v>0</v>
      </c>
      <c r="G44" s="81"/>
    </row>
    <row r="45" spans="1:7" ht="14.25" customHeight="1" x14ac:dyDescent="0.25">
      <c r="A45" s="16" t="s">
        <v>34</v>
      </c>
      <c r="B45" s="97">
        <f>MAPA!B46</f>
        <v>0</v>
      </c>
      <c r="C45" s="66">
        <f>MAPA!D46</f>
        <v>0</v>
      </c>
      <c r="D45" s="66">
        <f>MAPA!C46</f>
        <v>0</v>
      </c>
      <c r="E45" s="66" t="str">
        <f>MAPA!E46</f>
        <v>-</v>
      </c>
      <c r="F45" s="78">
        <f>MAPA!F46</f>
        <v>0</v>
      </c>
      <c r="G45" s="81"/>
    </row>
    <row r="46" spans="1:7" ht="14.25" customHeight="1" x14ac:dyDescent="0.25">
      <c r="A46" s="16" t="s">
        <v>35</v>
      </c>
      <c r="B46" s="97">
        <f>MAPA!B47</f>
        <v>0</v>
      </c>
      <c r="C46" s="66">
        <f>MAPA!D47</f>
        <v>0</v>
      </c>
      <c r="D46" s="66">
        <f>MAPA!C47</f>
        <v>0</v>
      </c>
      <c r="E46" s="66" t="str">
        <f>MAPA!E47</f>
        <v>-</v>
      </c>
      <c r="F46" s="78">
        <f>MAPA!F47</f>
        <v>0</v>
      </c>
      <c r="G46" s="81"/>
    </row>
    <row r="47" spans="1:7" ht="14.25" customHeight="1" x14ac:dyDescent="0.25">
      <c r="A47" s="16" t="s">
        <v>36</v>
      </c>
      <c r="B47" s="97">
        <f>MAPA!B48</f>
        <v>0</v>
      </c>
      <c r="C47" s="66">
        <f>MAPA!D48</f>
        <v>0</v>
      </c>
      <c r="D47" s="66">
        <f>MAPA!C48</f>
        <v>0</v>
      </c>
      <c r="E47" s="66" t="str">
        <f>MAPA!E48</f>
        <v>-</v>
      </c>
      <c r="F47" s="78">
        <f>MAPA!F48</f>
        <v>0</v>
      </c>
      <c r="G47" s="81"/>
    </row>
    <row r="48" spans="1:7" ht="14.25" customHeight="1" x14ac:dyDescent="0.25">
      <c r="A48" s="16" t="s">
        <v>37</v>
      </c>
      <c r="B48" s="97" t="str">
        <f>MAPA!B49</f>
        <v>MURILO SILVEIRA, 6A</v>
      </c>
      <c r="C48" s="66">
        <f>MAPA!D49</f>
        <v>200</v>
      </c>
      <c r="D48" s="66" t="str">
        <f>MAPA!C49</f>
        <v>VO</v>
      </c>
      <c r="E48" s="66">
        <f>MAPA!E49</f>
        <v>0</v>
      </c>
      <c r="F48" s="78" t="str">
        <f>MAPA!F49</f>
        <v>LV+MUCILON</v>
      </c>
      <c r="G48" s="80"/>
    </row>
    <row r="49" spans="1:7" ht="14.25" customHeight="1" x14ac:dyDescent="0.25">
      <c r="A49" s="16" t="s">
        <v>38</v>
      </c>
      <c r="B49" s="97">
        <f>MAPA!B50</f>
        <v>0</v>
      </c>
      <c r="C49" s="66">
        <f>MAPA!D50</f>
        <v>0</v>
      </c>
      <c r="D49" s="66">
        <f>MAPA!C50</f>
        <v>0</v>
      </c>
      <c r="E49" s="66">
        <f>MAPA!E50</f>
        <v>0</v>
      </c>
      <c r="F49" s="78">
        <f>MAPA!F50</f>
        <v>0</v>
      </c>
      <c r="G49" s="81"/>
    </row>
    <row r="50" spans="1:7" ht="14.25" customHeight="1" x14ac:dyDescent="0.25">
      <c r="A50" s="16" t="s">
        <v>39</v>
      </c>
      <c r="B50" s="97">
        <f>MAPA!B51</f>
        <v>0</v>
      </c>
      <c r="C50" s="66">
        <f>MAPA!D51</f>
        <v>0</v>
      </c>
      <c r="D50" s="66">
        <f>MAPA!C51</f>
        <v>0</v>
      </c>
      <c r="E50" s="66">
        <f>MAPA!E51</f>
        <v>0</v>
      </c>
      <c r="F50" s="78">
        <f>MAPA!F51</f>
        <v>0</v>
      </c>
      <c r="G50" s="81"/>
    </row>
    <row r="51" spans="1:7" ht="14.25" customHeight="1" x14ac:dyDescent="0.25">
      <c r="A51" s="16" t="s">
        <v>40</v>
      </c>
      <c r="B51" s="97" t="str">
        <f>MAPA!B52</f>
        <v>AGATHA GABRIELE DA COSTA, 1A8M</v>
      </c>
      <c r="C51" s="66">
        <f>MAPA!D52</f>
        <v>100</v>
      </c>
      <c r="D51" s="66" t="str">
        <f>MAPA!C52</f>
        <v>SNE</v>
      </c>
      <c r="E51" s="66">
        <f>MAPA!E52</f>
        <v>0</v>
      </c>
      <c r="F51" s="78" t="str">
        <f>MAPA!F52</f>
        <v>FORTINI (18,3%)</v>
      </c>
      <c r="G51" s="81"/>
    </row>
    <row r="52" spans="1:7" ht="14.25" customHeight="1" x14ac:dyDescent="0.25">
      <c r="A52" s="16" t="s">
        <v>41</v>
      </c>
      <c r="B52" s="97">
        <f>MAPA!B53</f>
        <v>0</v>
      </c>
      <c r="C52" s="66">
        <f>MAPA!D53</f>
        <v>0</v>
      </c>
      <c r="D52" s="66">
        <f>MAPA!C53</f>
        <v>0</v>
      </c>
      <c r="E52" s="66" t="str">
        <f>MAPA!E53</f>
        <v>-</v>
      </c>
      <c r="F52" s="78">
        <f>MAPA!F53</f>
        <v>0</v>
      </c>
      <c r="G52" s="81"/>
    </row>
    <row r="53" spans="1:7" ht="14.25" customHeight="1" thickBot="1" x14ac:dyDescent="0.3">
      <c r="A53" s="17" t="s">
        <v>42</v>
      </c>
      <c r="B53" s="98">
        <f>MAPA!B54</f>
        <v>0</v>
      </c>
      <c r="C53" s="82">
        <f>MAPA!D54</f>
        <v>0</v>
      </c>
      <c r="D53" s="82">
        <f>MAPA!C54</f>
        <v>0</v>
      </c>
      <c r="E53" s="82" t="str">
        <f>MAPA!E54</f>
        <v>-</v>
      </c>
      <c r="F53" s="83">
        <f>MAPA!F54</f>
        <v>0</v>
      </c>
      <c r="G53" s="84"/>
    </row>
    <row r="54" spans="1:7" s="106" customFormat="1" ht="14.25" customHeight="1" thickBot="1" x14ac:dyDescent="0.3">
      <c r="A54" s="101"/>
      <c r="B54" s="102"/>
      <c r="C54" s="103"/>
      <c r="D54" s="103"/>
      <c r="E54" s="103"/>
      <c r="F54" s="104"/>
      <c r="G54" s="105"/>
    </row>
    <row r="55" spans="1:7" ht="14.25" customHeight="1" x14ac:dyDescent="0.25">
      <c r="A55" s="206" t="s">
        <v>52</v>
      </c>
      <c r="B55" s="207"/>
      <c r="C55" s="207"/>
      <c r="D55" s="207"/>
      <c r="E55" s="207"/>
      <c r="F55" s="207"/>
      <c r="G55" s="208"/>
    </row>
    <row r="56" spans="1:7" s="90" customFormat="1" ht="14.25" customHeight="1" x14ac:dyDescent="0.25">
      <c r="A56" s="200" t="str">
        <f>A1</f>
        <v>PROTOCOLO DE ENTREGA</v>
      </c>
      <c r="B56" s="201"/>
      <c r="C56" s="89" t="s">
        <v>8</v>
      </c>
      <c r="D56" s="202" t="str">
        <f>MAPA!A4</f>
        <v xml:space="preserve">DATA : 10/10/2019   </v>
      </c>
      <c r="E56" s="203"/>
      <c r="F56" s="204" t="s">
        <v>193</v>
      </c>
      <c r="G56" s="205"/>
    </row>
    <row r="57" spans="1:7" s="95" customFormat="1" ht="14.25" customHeight="1" x14ac:dyDescent="0.25">
      <c r="A57" s="91" t="s">
        <v>2</v>
      </c>
      <c r="B57" s="96" t="s">
        <v>3</v>
      </c>
      <c r="C57" s="93" t="s">
        <v>57</v>
      </c>
      <c r="D57" s="92" t="s">
        <v>9</v>
      </c>
      <c r="E57" s="92" t="s">
        <v>1</v>
      </c>
      <c r="F57" s="93" t="s">
        <v>6</v>
      </c>
      <c r="G57" s="94" t="s">
        <v>121</v>
      </c>
    </row>
    <row r="58" spans="1:7" ht="14.25" customHeight="1" x14ac:dyDescent="0.25">
      <c r="A58" s="16" t="s">
        <v>43</v>
      </c>
      <c r="B58" s="97" t="str">
        <f>MAPA!B55</f>
        <v>MARIA FLOR KIELING DA ROSA, 1A7M</v>
      </c>
      <c r="C58" s="66">
        <f>MAPA!D55</f>
        <v>100</v>
      </c>
      <c r="D58" s="66" t="str">
        <f>MAPA!C55</f>
        <v>SNE</v>
      </c>
      <c r="E58" s="66">
        <f>MAPA!E55</f>
        <v>0</v>
      </c>
      <c r="F58" s="78" t="str">
        <f>MAPA!F55</f>
        <v>FORTINI (20,3%)</v>
      </c>
      <c r="G58" s="80"/>
    </row>
    <row r="59" spans="1:7" ht="14.25" customHeight="1" x14ac:dyDescent="0.25">
      <c r="A59" s="16" t="s">
        <v>44</v>
      </c>
      <c r="B59" s="97">
        <f>MAPA!B56</f>
        <v>0</v>
      </c>
      <c r="C59" s="66">
        <f>MAPA!D56</f>
        <v>0</v>
      </c>
      <c r="D59" s="66">
        <f>MAPA!C56</f>
        <v>0</v>
      </c>
      <c r="E59" s="66" t="str">
        <f>MAPA!E56</f>
        <v>-</v>
      </c>
      <c r="F59" s="78">
        <f>MAPA!F56</f>
        <v>0</v>
      </c>
      <c r="G59" s="81"/>
    </row>
    <row r="60" spans="1:7" ht="14.25" customHeight="1" x14ac:dyDescent="0.25">
      <c r="A60" s="16" t="s">
        <v>45</v>
      </c>
      <c r="B60" s="97">
        <f>MAPA!B57</f>
        <v>0</v>
      </c>
      <c r="C60" s="66">
        <f>MAPA!D57</f>
        <v>0</v>
      </c>
      <c r="D60" s="66">
        <f>MAPA!C57</f>
        <v>0</v>
      </c>
      <c r="E60" s="66">
        <f>MAPA!E57</f>
        <v>0</v>
      </c>
      <c r="F60" s="78">
        <f>MAPA!F57</f>
        <v>0</v>
      </c>
      <c r="G60" s="81"/>
    </row>
    <row r="61" spans="1:7" ht="14.25" customHeight="1" x14ac:dyDescent="0.25">
      <c r="A61" s="16" t="s">
        <v>46</v>
      </c>
      <c r="B61" s="97" t="str">
        <f>MAPA!B58</f>
        <v>HENRY MICAEL DORNELES 1M</v>
      </c>
      <c r="C61" s="66">
        <f>MAPA!D58</f>
        <v>60</v>
      </c>
      <c r="D61" s="66" t="str">
        <f>MAPA!C58</f>
        <v>SNE</v>
      </c>
      <c r="E61" s="66">
        <f>MAPA!E58</f>
        <v>0</v>
      </c>
      <c r="F61" s="78" t="str">
        <f>MAPA!F58</f>
        <v>FL 1º SEMESTRE (17,5%)</v>
      </c>
      <c r="G61" s="81"/>
    </row>
    <row r="62" spans="1:7" ht="14.25" customHeight="1" x14ac:dyDescent="0.25">
      <c r="A62" s="16" t="s">
        <v>47</v>
      </c>
      <c r="B62" s="97" t="str">
        <f>MAPA!B59</f>
        <v>MANUELA NASCIMENTO 3M</v>
      </c>
      <c r="C62" s="66">
        <f>MAPA!D59</f>
        <v>80</v>
      </c>
      <c r="D62" s="66" t="str">
        <f>MAPA!C59</f>
        <v>VO</v>
      </c>
      <c r="E62" s="66">
        <f>MAPA!E59</f>
        <v>0</v>
      </c>
      <c r="F62" s="78" t="str">
        <f>MAPA!F59</f>
        <v>FL 1° SEMESTRE(NAN CONFOR)</v>
      </c>
      <c r="G62" s="81"/>
    </row>
    <row r="63" spans="1:7" ht="14.25" customHeight="1" x14ac:dyDescent="0.25">
      <c r="A63" s="16" t="s">
        <v>48</v>
      </c>
      <c r="B63" s="97">
        <f>MAPA!B60</f>
        <v>0</v>
      </c>
      <c r="C63" s="66">
        <f>MAPA!D60</f>
        <v>0</v>
      </c>
      <c r="D63" s="66">
        <f>MAPA!C60</f>
        <v>0</v>
      </c>
      <c r="E63" s="66">
        <f>MAPA!E60</f>
        <v>0</v>
      </c>
      <c r="F63" s="78">
        <f>MAPA!F60</f>
        <v>0</v>
      </c>
      <c r="G63" s="81"/>
    </row>
    <row r="64" spans="1:7" ht="14.25" customHeight="1" x14ac:dyDescent="0.25">
      <c r="A64" s="16" t="s">
        <v>49</v>
      </c>
      <c r="B64" s="97" t="str">
        <f>MAPA!B61</f>
        <v>JOAQUIM BGS REIS, 11M</v>
      </c>
      <c r="C64" s="66">
        <f>MAPA!D61</f>
        <v>240</v>
      </c>
      <c r="D64" s="66" t="str">
        <f>MAPA!C61</f>
        <v>VO</v>
      </c>
      <c r="E64" s="66">
        <f>MAPA!E61</f>
        <v>0</v>
      </c>
      <c r="F64" s="78" t="str">
        <f>MAPA!F61</f>
        <v>FL 2º SEMESTRE</v>
      </c>
      <c r="G64" s="81"/>
    </row>
    <row r="65" spans="1:7" ht="14.25" customHeight="1" x14ac:dyDescent="0.25">
      <c r="A65" s="16" t="s">
        <v>50</v>
      </c>
      <c r="B65" s="97" t="str">
        <f>MAPA!B62</f>
        <v>VALENTIM DA SILVEIRA RODRIGUES, 1M</v>
      </c>
      <c r="C65" s="66">
        <f>MAPA!D62</f>
        <v>120</v>
      </c>
      <c r="D65" s="66" t="str">
        <f>MAPA!C62</f>
        <v>VO</v>
      </c>
      <c r="E65" s="66">
        <f>MAPA!E62</f>
        <v>0</v>
      </c>
      <c r="F65" s="78" t="str">
        <f>MAPA!F62</f>
        <v>FL 1º SEMESTRE</v>
      </c>
      <c r="G65" s="81"/>
    </row>
    <row r="66" spans="1:7" ht="14.25" customHeight="1" thickBot="1" x14ac:dyDescent="0.3">
      <c r="A66" s="17" t="s">
        <v>51</v>
      </c>
      <c r="B66" s="98" t="str">
        <f>MAPA!B63</f>
        <v>LORRANA BEATRIZ CARDOSO, 1A</v>
      </c>
      <c r="C66" s="82">
        <f>MAPA!D63</f>
        <v>240</v>
      </c>
      <c r="D66" s="82" t="str">
        <f>MAPA!C63</f>
        <v>VO</v>
      </c>
      <c r="E66" s="82">
        <f>MAPA!E63</f>
        <v>0</v>
      </c>
      <c r="F66" s="83" t="str">
        <f>MAPA!F63</f>
        <v>LV+ACHOCOLATADO</v>
      </c>
      <c r="G66" s="84"/>
    </row>
    <row r="67" spans="1:7" ht="14.25" customHeight="1" thickBot="1" x14ac:dyDescent="0.3"/>
    <row r="68" spans="1:7" ht="14.25" customHeight="1" thickBot="1" x14ac:dyDescent="0.3">
      <c r="A68" s="209" t="s">
        <v>54</v>
      </c>
      <c r="B68" s="210"/>
      <c r="C68" s="210"/>
      <c r="D68" s="210"/>
      <c r="E68" s="210"/>
      <c r="F68" s="210"/>
      <c r="G68" s="211"/>
    </row>
    <row r="69" spans="1:7" s="90" customFormat="1" ht="14.25" customHeight="1" x14ac:dyDescent="0.25">
      <c r="A69" s="200" t="str">
        <f>A1</f>
        <v>PROTOCOLO DE ENTREGA</v>
      </c>
      <c r="B69" s="201"/>
      <c r="C69" s="89" t="s">
        <v>8</v>
      </c>
      <c r="D69" s="202" t="str">
        <f>MAPA!A4</f>
        <v xml:space="preserve">DATA : 10/10/2019   </v>
      </c>
      <c r="E69" s="203"/>
      <c r="F69" s="204" t="s">
        <v>193</v>
      </c>
      <c r="G69" s="205"/>
    </row>
    <row r="70" spans="1:7" s="95" customFormat="1" ht="14.25" customHeight="1" x14ac:dyDescent="0.25">
      <c r="A70" s="91" t="s">
        <v>2</v>
      </c>
      <c r="B70" s="96" t="s">
        <v>3</v>
      </c>
      <c r="C70" s="93" t="s">
        <v>57</v>
      </c>
      <c r="D70" s="92" t="s">
        <v>9</v>
      </c>
      <c r="E70" s="92" t="s">
        <v>1</v>
      </c>
      <c r="F70" s="93" t="s">
        <v>6</v>
      </c>
      <c r="G70" s="94" t="s">
        <v>121</v>
      </c>
    </row>
    <row r="71" spans="1:7" ht="14.25" customHeight="1" x14ac:dyDescent="0.25">
      <c r="A71" s="86">
        <v>4201</v>
      </c>
      <c r="B71" s="100" t="str">
        <f>MAPA!B68</f>
        <v>RN DE MAIRA ALEXANDRA (Augusto)</v>
      </c>
      <c r="C71" s="66">
        <f>MAPA!D68</f>
        <v>40</v>
      </c>
      <c r="D71" s="66" t="str">
        <f>MAPA!C68</f>
        <v>SOG</v>
      </c>
      <c r="E71" s="66" t="str">
        <f>MAPA!E68</f>
        <v>LM</v>
      </c>
      <c r="F71" s="78" t="str">
        <f>MAPA!F68</f>
        <v>FL TRANSIÇÃO</v>
      </c>
      <c r="G71" s="85"/>
    </row>
    <row r="72" spans="1:7" ht="14.25" customHeight="1" x14ac:dyDescent="0.25">
      <c r="A72" s="86">
        <v>4202</v>
      </c>
      <c r="B72" s="100">
        <f>MAPA!B69</f>
        <v>0</v>
      </c>
      <c r="C72" s="66">
        <f>MAPA!D69</f>
        <v>0</v>
      </c>
      <c r="D72" s="66">
        <f>MAPA!C69</f>
        <v>0</v>
      </c>
      <c r="E72" s="66">
        <f>MAPA!E69</f>
        <v>0</v>
      </c>
      <c r="F72" s="78">
        <f>MAPA!F69</f>
        <v>0</v>
      </c>
      <c r="G72" s="85"/>
    </row>
    <row r="73" spans="1:7" ht="14.25" customHeight="1" x14ac:dyDescent="0.25">
      <c r="A73" s="86">
        <v>4203</v>
      </c>
      <c r="B73" s="100" t="str">
        <f>MAPA!B70</f>
        <v>RN DE ANA CLAUDIA VARGAS (Manuela)</v>
      </c>
      <c r="C73" s="66">
        <f>MAPA!D70</f>
        <v>32</v>
      </c>
      <c r="D73" s="66" t="str">
        <f>MAPA!C70</f>
        <v>SOG</v>
      </c>
      <c r="E73" s="66" t="str">
        <f>MAPA!E70</f>
        <v>LM + FM</v>
      </c>
      <c r="F73" s="78" t="str">
        <f>MAPA!F70</f>
        <v>FL PREMATURO</v>
      </c>
      <c r="G73" s="85"/>
    </row>
    <row r="74" spans="1:7" ht="14.25" customHeight="1" x14ac:dyDescent="0.25">
      <c r="A74" s="86">
        <v>4204</v>
      </c>
      <c r="B74" s="100" t="str">
        <f>MAPA!B71</f>
        <v>RN DE TAINARA DE CARVALHO BOTELHO (Jhon Peter)</v>
      </c>
      <c r="C74" s="66">
        <f>MAPA!D71</f>
        <v>25</v>
      </c>
      <c r="D74" s="66" t="str">
        <f>MAPA!C71</f>
        <v>SNG</v>
      </c>
      <c r="E74" s="66" t="str">
        <f>MAPA!E71</f>
        <v>LM</v>
      </c>
      <c r="F74" s="78" t="str">
        <f>MAPA!F71</f>
        <v>FL PREMATURO</v>
      </c>
      <c r="G74" s="85"/>
    </row>
    <row r="75" spans="1:7" ht="14.25" customHeight="1" x14ac:dyDescent="0.25">
      <c r="A75" s="86">
        <v>4205</v>
      </c>
      <c r="B75" s="100" t="str">
        <f>MAPA!B72</f>
        <v>RN ELISSANGELA MENDES</v>
      </c>
      <c r="C75" s="66">
        <f>MAPA!D72</f>
        <v>31</v>
      </c>
      <c r="D75" s="66" t="str">
        <f>MAPA!C72</f>
        <v>VO</v>
      </c>
      <c r="E75" s="66" t="str">
        <f>MAPA!E72</f>
        <v>LM</v>
      </c>
      <c r="F75" s="78" t="str">
        <f>MAPA!F72</f>
        <v>FL 1º SEMESTRE</v>
      </c>
      <c r="G75" s="85"/>
    </row>
    <row r="76" spans="1:7" ht="14.25" customHeight="1" x14ac:dyDescent="0.25">
      <c r="A76" s="86">
        <v>4206</v>
      </c>
      <c r="B76" s="100" t="str">
        <f>MAPA!B73</f>
        <v>RN DE JENIFER VITÓRIA (Oliver)</v>
      </c>
      <c r="C76" s="66">
        <f>MAPA!D73</f>
        <v>16</v>
      </c>
      <c r="D76" s="66" t="str">
        <f>MAPA!C73</f>
        <v>SOG</v>
      </c>
      <c r="E76" s="66" t="str">
        <f>MAPA!E73</f>
        <v>LM</v>
      </c>
      <c r="F76" s="78" t="str">
        <f>MAPA!F73</f>
        <v>FL PREMATURO</v>
      </c>
      <c r="G76" s="85"/>
    </row>
    <row r="77" spans="1:7" ht="14.25" customHeight="1" x14ac:dyDescent="0.25">
      <c r="A77" s="86">
        <f>MAPA!A74</f>
        <v>4207</v>
      </c>
      <c r="B77" s="100" t="str">
        <f>MAPA!B74</f>
        <v>RN GIOVANA MEDEIROS (Camila)</v>
      </c>
      <c r="C77" s="66">
        <f>MAPA!D74</f>
        <v>62</v>
      </c>
      <c r="D77" s="66" t="str">
        <f>MAPA!C74</f>
        <v>VO</v>
      </c>
      <c r="E77" s="66" t="str">
        <f>MAPA!E74</f>
        <v>LM</v>
      </c>
      <c r="F77" s="78" t="str">
        <f>MAPA!F74</f>
        <v>FL 1º SEMESTRE</v>
      </c>
      <c r="G77" s="85"/>
    </row>
    <row r="78" spans="1:7" ht="14.25" customHeight="1" x14ac:dyDescent="0.25">
      <c r="A78" s="86">
        <f>MAPA!A75</f>
        <v>4208</v>
      </c>
      <c r="B78" s="100">
        <f>MAPA!B75</f>
        <v>0</v>
      </c>
      <c r="C78" s="66">
        <f>MAPA!D75</f>
        <v>0</v>
      </c>
      <c r="D78" s="66">
        <f>MAPA!C75</f>
        <v>0</v>
      </c>
      <c r="E78" s="66">
        <f>MAPA!E75</f>
        <v>0</v>
      </c>
      <c r="F78" s="78">
        <f>MAPA!F75</f>
        <v>0</v>
      </c>
      <c r="G78" s="85"/>
    </row>
    <row r="79" spans="1:7" ht="14.25" customHeight="1" x14ac:dyDescent="0.25">
      <c r="A79" s="86">
        <v>4209</v>
      </c>
      <c r="B79" s="100" t="str">
        <f>MAPA!B76</f>
        <v>RN DE DANIELA ARAGÃO  MAUER (Marco Antônio)</v>
      </c>
      <c r="C79" s="66">
        <f>MAPA!D76</f>
        <v>50</v>
      </c>
      <c r="D79" s="66" t="str">
        <f>MAPA!C76</f>
        <v>SOG</v>
      </c>
      <c r="E79" s="66" t="str">
        <f>MAPA!E76</f>
        <v>LM</v>
      </c>
      <c r="F79" s="78" t="str">
        <f>MAPA!F76</f>
        <v>FL 1º SEMESTRE</v>
      </c>
      <c r="G79" s="85"/>
    </row>
    <row r="80" spans="1:7" ht="14.25" customHeight="1" x14ac:dyDescent="0.25">
      <c r="A80" s="86">
        <v>4210</v>
      </c>
      <c r="B80" s="100" t="str">
        <f>MAPA!B77</f>
        <v>RN DE DEZERRE DA ROSA AGUIRRE (Murilo)</v>
      </c>
      <c r="C80" s="66">
        <f>MAPA!D77</f>
        <v>50</v>
      </c>
      <c r="D80" s="66" t="str">
        <f>MAPA!C77</f>
        <v>VO</v>
      </c>
      <c r="E80" s="66" t="str">
        <f>MAPA!E77</f>
        <v>LM</v>
      </c>
      <c r="F80" s="78" t="str">
        <f>MAPA!F77</f>
        <v>FL 1º SEMESTRE</v>
      </c>
      <c r="G80" s="85"/>
    </row>
    <row r="81" spans="1:7" ht="14.25" customHeight="1" x14ac:dyDescent="0.25">
      <c r="A81" s="86">
        <v>4211</v>
      </c>
      <c r="B81" s="100" t="str">
        <f>MAPA!B78</f>
        <v>RN DE MAIRA DANIELE</v>
      </c>
      <c r="C81" s="66">
        <f>MAPA!D78</f>
        <v>9</v>
      </c>
      <c r="D81" s="66" t="str">
        <f>MAPA!C78</f>
        <v>SNG</v>
      </c>
      <c r="E81" s="66" t="str">
        <f>MAPA!E78</f>
        <v>LM</v>
      </c>
      <c r="F81" s="78" t="str">
        <f>MAPA!F78</f>
        <v>FL 1° SEMESTRE</v>
      </c>
      <c r="G81" s="85"/>
    </row>
    <row r="82" spans="1:7" ht="14.25" customHeight="1" x14ac:dyDescent="0.25">
      <c r="A82" s="86">
        <v>4212</v>
      </c>
      <c r="B82" s="100">
        <f>MAPA!B79</f>
        <v>0</v>
      </c>
      <c r="C82" s="66">
        <f>MAPA!D79</f>
        <v>0</v>
      </c>
      <c r="D82" s="66">
        <f>MAPA!C79</f>
        <v>0</v>
      </c>
      <c r="E82" s="66">
        <f>MAPA!E79</f>
        <v>0</v>
      </c>
      <c r="F82" s="78">
        <f>MAPA!F79</f>
        <v>0</v>
      </c>
      <c r="G82" s="85"/>
    </row>
    <row r="83" spans="1:7" ht="14.25" customHeight="1" x14ac:dyDescent="0.25">
      <c r="A83" s="86">
        <v>4213</v>
      </c>
      <c r="B83" s="100">
        <f>MAPA!B80</f>
        <v>0</v>
      </c>
      <c r="C83" s="66">
        <f>MAPA!D80</f>
        <v>0</v>
      </c>
      <c r="D83" s="66">
        <f>MAPA!C80</f>
        <v>0</v>
      </c>
      <c r="E83" s="66">
        <f>MAPA!E80</f>
        <v>0</v>
      </c>
      <c r="F83" s="78">
        <f>MAPA!F80</f>
        <v>0</v>
      </c>
      <c r="G83" s="85"/>
    </row>
    <row r="84" spans="1:7" ht="14.25" customHeight="1" x14ac:dyDescent="0.25">
      <c r="A84" s="86">
        <v>4214</v>
      </c>
      <c r="B84" s="100" t="str">
        <f>MAPA!B81</f>
        <v>RN MILENA DA CRUZ PARANHOS (Felipe)</v>
      </c>
      <c r="C84" s="66">
        <f>MAPA!D81</f>
        <v>60</v>
      </c>
      <c r="D84" s="66" t="str">
        <f>MAPA!C81</f>
        <v>VO</v>
      </c>
      <c r="E84" s="66" t="str">
        <f>MAPA!E81</f>
        <v>LM</v>
      </c>
      <c r="F84" s="78" t="str">
        <f>MAPA!F81</f>
        <v>FL HIDROLISADA</v>
      </c>
      <c r="G84" s="85"/>
    </row>
    <row r="85" spans="1:7" ht="14.25" customHeight="1" x14ac:dyDescent="0.25">
      <c r="A85" s="8">
        <v>4215</v>
      </c>
      <c r="B85" s="100">
        <f>MAPA!B82</f>
        <v>0</v>
      </c>
      <c r="C85" s="66">
        <f>MAPA!D82</f>
        <v>0</v>
      </c>
      <c r="D85" s="66">
        <f>MAPA!C82</f>
        <v>0</v>
      </c>
      <c r="E85" s="66">
        <f>MAPA!E82</f>
        <v>0</v>
      </c>
      <c r="F85" s="78">
        <f>MAPA!F82</f>
        <v>0</v>
      </c>
      <c r="G85" s="85"/>
    </row>
    <row r="86" spans="1:7" ht="14.25" customHeight="1" x14ac:dyDescent="0.25">
      <c r="A86" s="86">
        <v>4216</v>
      </c>
      <c r="B86" s="100">
        <f>MAPA!B83</f>
        <v>0</v>
      </c>
      <c r="C86" s="66">
        <f>MAPA!D83</f>
        <v>0</v>
      </c>
      <c r="D86" s="66">
        <f>MAPA!C83</f>
        <v>0</v>
      </c>
      <c r="E86" s="66">
        <f>MAPA!E83</f>
        <v>0</v>
      </c>
      <c r="F86" s="78">
        <f>MAPA!F83</f>
        <v>0</v>
      </c>
      <c r="G86" s="85"/>
    </row>
    <row r="87" spans="1:7" ht="14.25" customHeight="1" x14ac:dyDescent="0.25">
      <c r="A87" s="86">
        <v>4217</v>
      </c>
      <c r="B87" s="100">
        <f>MAPA!B84</f>
        <v>0</v>
      </c>
      <c r="C87" s="66">
        <f>MAPA!D84</f>
        <v>0</v>
      </c>
      <c r="D87" s="66">
        <f>MAPA!C84</f>
        <v>0</v>
      </c>
      <c r="E87" s="66">
        <f>MAPA!E84</f>
        <v>0</v>
      </c>
      <c r="F87" s="78">
        <f>MAPA!F84</f>
        <v>0</v>
      </c>
      <c r="G87" s="85"/>
    </row>
    <row r="88" spans="1:7" ht="14.25" customHeight="1" x14ac:dyDescent="0.25">
      <c r="A88" s="86">
        <v>4218</v>
      </c>
      <c r="B88" s="100">
        <f>MAPA!B85</f>
        <v>0</v>
      </c>
      <c r="C88" s="66">
        <f>MAPA!D85</f>
        <v>0</v>
      </c>
      <c r="D88" s="66">
        <f>MAPA!C85</f>
        <v>0</v>
      </c>
      <c r="E88" s="66">
        <f>MAPA!E85</f>
        <v>0</v>
      </c>
      <c r="F88" s="78">
        <f>MAPA!F85</f>
        <v>0</v>
      </c>
      <c r="G88" s="85"/>
    </row>
    <row r="89" spans="1:7" ht="14.25" customHeight="1" x14ac:dyDescent="0.25">
      <c r="A89" s="86">
        <f>MAPA!A86</f>
        <v>4219</v>
      </c>
      <c r="B89" s="100">
        <f>MAPA!B86</f>
        <v>0</v>
      </c>
      <c r="C89" s="66">
        <f>MAPA!D86</f>
        <v>0</v>
      </c>
      <c r="D89" s="66">
        <f>MAPA!C86</f>
        <v>0</v>
      </c>
      <c r="E89" s="66">
        <f>MAPA!E86</f>
        <v>0</v>
      </c>
      <c r="F89" s="78">
        <f>MAPA!F86</f>
        <v>0</v>
      </c>
      <c r="G89" s="85"/>
    </row>
    <row r="90" spans="1:7" ht="14.25" customHeight="1" x14ac:dyDescent="0.25">
      <c r="A90" s="8">
        <v>4220</v>
      </c>
      <c r="B90" s="100">
        <f>MAPA!B88</f>
        <v>0</v>
      </c>
      <c r="C90" s="66">
        <f>MAPA!D88</f>
        <v>0</v>
      </c>
      <c r="D90" s="66">
        <f>MAPA!C88</f>
        <v>0</v>
      </c>
      <c r="E90" s="66">
        <f>MAPA!E88</f>
        <v>0</v>
      </c>
      <c r="F90" s="78">
        <f>MAPA!F88</f>
        <v>0</v>
      </c>
      <c r="G90" s="85"/>
    </row>
    <row r="91" spans="1:7" ht="14.25" customHeight="1" x14ac:dyDescent="0.25">
      <c r="A91" s="86">
        <v>4221</v>
      </c>
      <c r="B91" s="100" t="str">
        <f>MAPA!B89</f>
        <v>RN GABRIELA DIAS BERTODO (Gabriel)</v>
      </c>
      <c r="C91" s="66">
        <f>MAPA!D89</f>
        <v>40</v>
      </c>
      <c r="D91" s="66" t="str">
        <f>MAPA!C89</f>
        <v>SNG/VO</v>
      </c>
      <c r="E91" s="66" t="str">
        <f>MAPA!E89</f>
        <v>LM</v>
      </c>
      <c r="F91" s="78" t="str">
        <f>MAPA!F89</f>
        <v>FL TRANSIÇÃO</v>
      </c>
      <c r="G91" s="85"/>
    </row>
    <row r="92" spans="1:7" ht="14.25" customHeight="1" x14ac:dyDescent="0.25">
      <c r="A92" s="86">
        <v>4222</v>
      </c>
      <c r="B92" s="100" t="str">
        <f>MAPA!B90</f>
        <v>RN DE CLAUDIA OLIVEIRA</v>
      </c>
      <c r="C92" s="66">
        <f>MAPA!D90</f>
        <v>43</v>
      </c>
      <c r="D92" s="66" t="str">
        <f>MAPA!C90</f>
        <v>VO</v>
      </c>
      <c r="E92" s="66">
        <f>MAPA!E90</f>
        <v>0</v>
      </c>
      <c r="F92" s="78" t="str">
        <f>MAPA!F90</f>
        <v>FL 1º SEMESTRE</v>
      </c>
      <c r="G92" s="85"/>
    </row>
    <row r="93" spans="1:7" ht="14.25" customHeight="1" x14ac:dyDescent="0.25">
      <c r="A93" s="86">
        <v>4223</v>
      </c>
      <c r="B93" s="100">
        <f>MAPA!B91</f>
        <v>0</v>
      </c>
      <c r="C93" s="66">
        <f>MAPA!D91</f>
        <v>0</v>
      </c>
      <c r="D93" s="66">
        <f>MAPA!C91</f>
        <v>0</v>
      </c>
      <c r="E93" s="66">
        <f>MAPA!E91</f>
        <v>0</v>
      </c>
      <c r="F93" s="78">
        <f>MAPA!F91</f>
        <v>0</v>
      </c>
      <c r="G93" s="85"/>
    </row>
    <row r="94" spans="1:7" ht="14.25" customHeight="1" x14ac:dyDescent="0.25">
      <c r="A94" s="86">
        <v>4224</v>
      </c>
      <c r="B94" s="100">
        <f>MAPA!B92</f>
        <v>0</v>
      </c>
      <c r="C94" s="66">
        <f>MAPA!D92</f>
        <v>0</v>
      </c>
      <c r="D94" s="66">
        <f>MAPA!C92</f>
        <v>0</v>
      </c>
      <c r="E94" s="66">
        <f>MAPA!E92</f>
        <v>0</v>
      </c>
      <c r="F94" s="78">
        <f>MAPA!F92</f>
        <v>0</v>
      </c>
      <c r="G94" s="85"/>
    </row>
    <row r="95" spans="1:7" ht="14.25" customHeight="1" x14ac:dyDescent="0.25">
      <c r="A95" s="86">
        <v>4225</v>
      </c>
      <c r="B95" s="100" t="str">
        <f>MAPA!B93</f>
        <v>RN DE ANA PAULA ARAUJO</v>
      </c>
      <c r="C95" s="66">
        <f>MAPA!D93</f>
        <v>80</v>
      </c>
      <c r="D95" s="66" t="str">
        <f>MAPA!C93</f>
        <v>VO</v>
      </c>
      <c r="E95" s="66" t="str">
        <f>MAPA!E93</f>
        <v>LM</v>
      </c>
      <c r="F95" s="78" t="str">
        <f>MAPA!F93</f>
        <v>FL 1º SEMESTRE</v>
      </c>
      <c r="G95" s="85"/>
    </row>
    <row r="96" spans="1:7" ht="14.25" customHeight="1" x14ac:dyDescent="0.25">
      <c r="A96" s="86">
        <v>4226</v>
      </c>
      <c r="B96" s="100" t="str">
        <f>MAPA!B94</f>
        <v>G1 KELLY SANTOS</v>
      </c>
      <c r="C96" s="66">
        <f>MAPA!D94</f>
        <v>20</v>
      </c>
      <c r="D96" s="66" t="str">
        <f>MAPA!C94</f>
        <v>VO</v>
      </c>
      <c r="E96" s="66" t="str">
        <f>MAPA!E94</f>
        <v>LM</v>
      </c>
      <c r="F96" s="78" t="str">
        <f>MAPA!F94</f>
        <v>FL 1° SEMESTRE</v>
      </c>
      <c r="G96" s="85"/>
    </row>
    <row r="97" spans="1:7" ht="14.25" customHeight="1" x14ac:dyDescent="0.25">
      <c r="A97" s="86">
        <v>4227</v>
      </c>
      <c r="B97" s="100">
        <f>MAPA!B95</f>
        <v>0</v>
      </c>
      <c r="C97" s="66">
        <f>MAPA!D95</f>
        <v>0</v>
      </c>
      <c r="D97" s="66">
        <f>MAPA!C95</f>
        <v>0</v>
      </c>
      <c r="E97" s="66">
        <f>MAPA!E95</f>
        <v>0</v>
      </c>
      <c r="F97" s="78">
        <f>MAPA!F95</f>
        <v>0</v>
      </c>
      <c r="G97" s="85"/>
    </row>
    <row r="98" spans="1:7" ht="14.25" customHeight="1" x14ac:dyDescent="0.25">
      <c r="A98" s="86">
        <v>4228</v>
      </c>
      <c r="B98" s="100" t="str">
        <f>MAPA!B96</f>
        <v>RN VIRGINIA AGNES DA SILVA (Fernando)</v>
      </c>
      <c r="C98" s="66">
        <f>MAPA!D96</f>
        <v>100</v>
      </c>
      <c r="D98" s="66" t="str">
        <f>MAPA!C96</f>
        <v>VO</v>
      </c>
      <c r="E98" s="66" t="str">
        <f>MAPA!E96</f>
        <v>LM</v>
      </c>
      <c r="F98" s="78" t="str">
        <f>MAPA!F96</f>
        <v>FL 1º SEMESTRE</v>
      </c>
      <c r="G98" s="85"/>
    </row>
    <row r="99" spans="1:7" ht="14.25" customHeight="1" x14ac:dyDescent="0.25">
      <c r="A99" s="86">
        <v>4229</v>
      </c>
      <c r="B99" s="100" t="str">
        <f>MAPA!B97</f>
        <v>RN SUELEM CAMPOS</v>
      </c>
      <c r="C99" s="66">
        <f>MAPA!D97</f>
        <v>55</v>
      </c>
      <c r="D99" s="66" t="str">
        <f>MAPA!C97</f>
        <v>VO</v>
      </c>
      <c r="E99" s="66" t="str">
        <f>MAPA!E97</f>
        <v>LM</v>
      </c>
      <c r="F99" s="78" t="str">
        <f>MAPA!F97</f>
        <v>FL 1º SEMESTRE</v>
      </c>
      <c r="G99" s="85"/>
    </row>
    <row r="100" spans="1:7" ht="14.25" customHeight="1" x14ac:dyDescent="0.25">
      <c r="A100" s="86">
        <v>4230</v>
      </c>
      <c r="B100" s="100">
        <f>MAPA!B98</f>
        <v>0</v>
      </c>
      <c r="C100" s="66">
        <f>MAPA!D98</f>
        <v>0</v>
      </c>
      <c r="D100" s="66">
        <f>MAPA!C98</f>
        <v>0</v>
      </c>
      <c r="E100" s="66">
        <f>MAPA!E98</f>
        <v>0</v>
      </c>
      <c r="F100" s="78">
        <f>MAPA!F98</f>
        <v>0</v>
      </c>
      <c r="G100" s="85"/>
    </row>
    <row r="101" spans="1:7" ht="14.25" customHeight="1" x14ac:dyDescent="0.25">
      <c r="A101" s="86">
        <f>MAPA!A100</f>
        <v>4241</v>
      </c>
      <c r="B101" s="100">
        <f>MAPA!B100</f>
        <v>0</v>
      </c>
      <c r="C101" s="66">
        <f>MAPA!D100</f>
        <v>0</v>
      </c>
      <c r="D101" s="66">
        <f>MAPA!C100</f>
        <v>0</v>
      </c>
      <c r="E101" s="66">
        <f>MAPA!E100</f>
        <v>0</v>
      </c>
      <c r="F101" s="78">
        <f>MAPA!F100</f>
        <v>0</v>
      </c>
      <c r="G101" s="85"/>
    </row>
    <row r="102" spans="1:7" ht="14.25" customHeight="1" x14ac:dyDescent="0.25">
      <c r="A102" s="86">
        <f>MAPA!A101</f>
        <v>4242</v>
      </c>
      <c r="B102" s="100">
        <f>MAPA!B101</f>
        <v>0</v>
      </c>
      <c r="C102" s="66">
        <f>MAPA!D101</f>
        <v>0</v>
      </c>
      <c r="D102" s="66">
        <f>MAPA!C101</f>
        <v>0</v>
      </c>
      <c r="E102" s="66">
        <f>MAPA!E101</f>
        <v>0</v>
      </c>
      <c r="F102" s="78">
        <f>MAPA!F101</f>
        <v>0</v>
      </c>
      <c r="G102" s="85"/>
    </row>
    <row r="103" spans="1:7" ht="14.25" customHeight="1" x14ac:dyDescent="0.25">
      <c r="A103" s="86">
        <f>MAPA!A102</f>
        <v>4243</v>
      </c>
      <c r="B103" s="100">
        <f>MAPA!B102</f>
        <v>0</v>
      </c>
      <c r="C103" s="66">
        <f>MAPA!D102</f>
        <v>0</v>
      </c>
      <c r="D103" s="66">
        <f>MAPA!C102</f>
        <v>0</v>
      </c>
      <c r="E103" s="66">
        <f>MAPA!E102</f>
        <v>0</v>
      </c>
      <c r="F103" s="78">
        <f>MAPA!F102</f>
        <v>0</v>
      </c>
      <c r="G103" s="85"/>
    </row>
    <row r="104" spans="1:7" ht="14.25" customHeight="1" x14ac:dyDescent="0.25">
      <c r="A104" s="86">
        <f>MAPA!A103</f>
        <v>4244</v>
      </c>
      <c r="B104" s="100">
        <f>MAPA!B103</f>
        <v>0</v>
      </c>
      <c r="C104" s="66">
        <f>MAPA!D103</f>
        <v>0</v>
      </c>
      <c r="D104" s="66">
        <f>MAPA!C103</f>
        <v>0</v>
      </c>
      <c r="E104" s="66">
        <f>MAPA!E103</f>
        <v>0</v>
      </c>
      <c r="F104" s="78">
        <f>MAPA!F103</f>
        <v>0</v>
      </c>
      <c r="G104" s="85"/>
    </row>
    <row r="105" spans="1:7" ht="14.25" customHeight="1" thickBot="1" x14ac:dyDescent="0.3">
      <c r="A105" s="18">
        <f>MAPA!A104</f>
        <v>0</v>
      </c>
      <c r="B105" s="100">
        <f>MAPA!B104</f>
        <v>0</v>
      </c>
      <c r="C105" s="66">
        <f>MAPA!D104</f>
        <v>0</v>
      </c>
      <c r="D105" s="66">
        <f>MAPA!C104</f>
        <v>0</v>
      </c>
      <c r="E105" s="66">
        <f>MAPA!E104</f>
        <v>0</v>
      </c>
      <c r="F105" s="78">
        <f>MAPA!F104</f>
        <v>0</v>
      </c>
      <c r="G105" s="85"/>
    </row>
    <row r="109" spans="1:7" ht="14.25" customHeight="1" x14ac:dyDescent="0.25">
      <c r="E109" s="5" t="s">
        <v>204</v>
      </c>
    </row>
  </sheetData>
  <mergeCells count="18">
    <mergeCell ref="A18:G18"/>
    <mergeCell ref="A1:G2"/>
    <mergeCell ref="A3:G3"/>
    <mergeCell ref="A4:G4"/>
    <mergeCell ref="D5:E5"/>
    <mergeCell ref="F5:G5"/>
    <mergeCell ref="A5:B5"/>
    <mergeCell ref="A19:B19"/>
    <mergeCell ref="D19:E19"/>
    <mergeCell ref="F19:G19"/>
    <mergeCell ref="A69:B69"/>
    <mergeCell ref="D69:E69"/>
    <mergeCell ref="F69:G69"/>
    <mergeCell ref="A55:G55"/>
    <mergeCell ref="A56:B56"/>
    <mergeCell ref="D56:E56"/>
    <mergeCell ref="F56:G56"/>
    <mergeCell ref="A68:G68"/>
  </mergeCells>
  <pageMargins left="0.25" right="0.25" top="0.75" bottom="0.75" header="0.3" footer="0.3"/>
  <pageSetup paperSize="9" orientation="portrait" r:id="rId1"/>
  <ignoredErrors>
    <ignoredError sqref="B71:B78 B80:B105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2D050"/>
  </sheetPr>
  <dimension ref="A1:N298"/>
  <sheetViews>
    <sheetView topLeftCell="A3" workbookViewId="0">
      <selection activeCell="I3" sqref="I1:I1048576"/>
    </sheetView>
  </sheetViews>
  <sheetFormatPr defaultRowHeight="18" customHeight="1" x14ac:dyDescent="0.25"/>
  <cols>
    <col min="1" max="1" width="9.140625" style="5" customWidth="1"/>
    <col min="2" max="2" width="34.42578125" style="5" customWidth="1"/>
    <col min="3" max="3" width="9.42578125" style="5" customWidth="1"/>
    <col min="4" max="4" width="9.5703125" style="5" customWidth="1"/>
    <col min="5" max="5" width="22.140625" style="5" customWidth="1"/>
    <col min="6" max="7" width="12.28515625" style="5" customWidth="1"/>
    <col min="8" max="8" width="11" style="5" customWidth="1"/>
    <col min="9" max="9" width="14.28515625" style="5" customWidth="1"/>
    <col min="10" max="16384" width="9.140625" style="5"/>
  </cols>
  <sheetData>
    <row r="1" spans="1:9" ht="18" customHeight="1" thickBot="1" x14ac:dyDescent="0.3">
      <c r="A1" s="222" t="s">
        <v>128</v>
      </c>
      <c r="B1" s="220" t="s">
        <v>123</v>
      </c>
      <c r="C1" s="220"/>
      <c r="D1" s="220"/>
      <c r="E1" s="220"/>
      <c r="F1" s="220"/>
      <c r="G1" s="220"/>
      <c r="H1" s="220"/>
      <c r="I1" s="221"/>
    </row>
    <row r="2" spans="1:9" ht="18" customHeight="1" thickBot="1" x14ac:dyDescent="0.3">
      <c r="A2" s="223"/>
      <c r="B2" s="217" t="str">
        <f>MAPA!A4</f>
        <v xml:space="preserve">DATA : 10/10/2019   </v>
      </c>
      <c r="C2" s="218"/>
      <c r="D2" s="218"/>
      <c r="E2" s="218"/>
      <c r="F2" s="218"/>
      <c r="G2" s="218"/>
      <c r="H2" s="218"/>
      <c r="I2" s="219"/>
    </row>
    <row r="3" spans="1:9" ht="30" customHeight="1" x14ac:dyDescent="0.25">
      <c r="A3" s="223"/>
      <c r="B3" s="140" t="s">
        <v>124</v>
      </c>
      <c r="C3" s="141" t="s">
        <v>125</v>
      </c>
      <c r="D3" s="142" t="s">
        <v>126</v>
      </c>
      <c r="E3" s="142" t="s">
        <v>127</v>
      </c>
      <c r="F3" s="142" t="s">
        <v>196</v>
      </c>
      <c r="G3" s="142" t="s">
        <v>197</v>
      </c>
      <c r="H3" s="141" t="s">
        <v>129</v>
      </c>
      <c r="I3" s="143" t="s">
        <v>130</v>
      </c>
    </row>
    <row r="4" spans="1:9" ht="18" customHeight="1" x14ac:dyDescent="0.25">
      <c r="A4" s="223"/>
      <c r="B4" s="67" t="s">
        <v>180</v>
      </c>
      <c r="C4" s="68">
        <v>0.16500000000000001</v>
      </c>
      <c r="D4" s="69">
        <v>66</v>
      </c>
      <c r="E4" s="70">
        <f>(D4*2)+200</f>
        <v>332</v>
      </c>
      <c r="F4" s="11">
        <f>E4*C4</f>
        <v>54.78</v>
      </c>
      <c r="G4" s="11">
        <f t="shared" ref="G4:G21" si="0">E4*90%</f>
        <v>298.8</v>
      </c>
      <c r="H4" s="15"/>
      <c r="I4" s="71"/>
    </row>
    <row r="5" spans="1:9" ht="18" customHeight="1" x14ac:dyDescent="0.25">
      <c r="A5" s="223"/>
      <c r="B5" s="67" t="s">
        <v>181</v>
      </c>
      <c r="C5" s="68">
        <v>0.153</v>
      </c>
      <c r="D5" s="69">
        <v>43</v>
      </c>
      <c r="E5" s="70">
        <f t="shared" ref="E5:E11" si="1">(D5*2)+200</f>
        <v>286</v>
      </c>
      <c r="F5" s="11">
        <f t="shared" ref="F5:F11" si="2">E5*C5</f>
        <v>43.758000000000003</v>
      </c>
      <c r="G5" s="11">
        <f t="shared" si="0"/>
        <v>257.40000000000003</v>
      </c>
      <c r="H5" s="15"/>
      <c r="I5" s="71"/>
    </row>
    <row r="6" spans="1:9" ht="18" customHeight="1" x14ac:dyDescent="0.25">
      <c r="A6" s="223"/>
      <c r="B6" s="67" t="s">
        <v>182</v>
      </c>
      <c r="C6" s="68">
        <v>0.13500000000000001</v>
      </c>
      <c r="D6" s="69">
        <v>810</v>
      </c>
      <c r="E6" s="70">
        <f t="shared" ref="E6" si="3">(D6*2)+200</f>
        <v>1820</v>
      </c>
      <c r="F6" s="11">
        <f t="shared" ref="F6" si="4">E6*C6</f>
        <v>245.70000000000002</v>
      </c>
      <c r="G6" s="11">
        <f t="shared" si="0"/>
        <v>1638</v>
      </c>
      <c r="H6" s="15"/>
      <c r="I6" s="71"/>
    </row>
    <row r="7" spans="1:9" ht="18" customHeight="1" x14ac:dyDescent="0.25">
      <c r="A7" s="223"/>
      <c r="B7" s="67" t="s">
        <v>213</v>
      </c>
      <c r="C7" s="68">
        <v>0.13700000000000001</v>
      </c>
      <c r="D7" s="69">
        <v>100</v>
      </c>
      <c r="E7" s="70">
        <f t="shared" ref="E7" si="5">(D7*2)+200</f>
        <v>400</v>
      </c>
      <c r="F7" s="11">
        <f t="shared" ref="F7" si="6">E7*C7</f>
        <v>54.800000000000004</v>
      </c>
      <c r="G7" s="11">
        <f t="shared" si="0"/>
        <v>360</v>
      </c>
      <c r="H7" s="15"/>
      <c r="I7" s="71"/>
    </row>
    <row r="8" spans="1:9" ht="18" customHeight="1" x14ac:dyDescent="0.25">
      <c r="A8" s="223"/>
      <c r="B8" s="127" t="s">
        <v>201</v>
      </c>
      <c r="C8" s="128">
        <v>0.2</v>
      </c>
      <c r="D8" s="69">
        <v>80</v>
      </c>
      <c r="E8" s="129">
        <f t="shared" si="1"/>
        <v>360</v>
      </c>
      <c r="F8" s="130">
        <f t="shared" si="2"/>
        <v>72</v>
      </c>
      <c r="G8" s="130">
        <f t="shared" si="0"/>
        <v>324</v>
      </c>
      <c r="H8" s="131"/>
      <c r="I8" s="132"/>
    </row>
    <row r="9" spans="1:9" ht="18" customHeight="1" x14ac:dyDescent="0.25">
      <c r="A9" s="223"/>
      <c r="B9" s="67" t="s">
        <v>209</v>
      </c>
      <c r="C9" s="68">
        <v>0.14199999999999999</v>
      </c>
      <c r="D9" s="69">
        <v>440</v>
      </c>
      <c r="E9" s="70">
        <f t="shared" ref="E9" si="7">(D9*2)+200</f>
        <v>1080</v>
      </c>
      <c r="F9" s="11">
        <f t="shared" ref="F9" si="8">E9*C9</f>
        <v>153.35999999999999</v>
      </c>
      <c r="G9" s="11">
        <f t="shared" si="0"/>
        <v>972</v>
      </c>
      <c r="H9" s="131"/>
      <c r="I9" s="132"/>
    </row>
    <row r="10" spans="1:9" ht="18" customHeight="1" x14ac:dyDescent="0.25">
      <c r="A10" s="223"/>
      <c r="B10" s="127" t="s">
        <v>211</v>
      </c>
      <c r="C10" s="128">
        <v>0.21</v>
      </c>
      <c r="D10" s="69">
        <v>210</v>
      </c>
      <c r="E10" s="129">
        <f t="shared" si="1"/>
        <v>620</v>
      </c>
      <c r="F10" s="130">
        <f t="shared" si="2"/>
        <v>130.19999999999999</v>
      </c>
      <c r="G10" s="130">
        <f t="shared" si="0"/>
        <v>558</v>
      </c>
      <c r="H10" s="131"/>
      <c r="I10" s="132"/>
    </row>
    <row r="11" spans="1:9" ht="18" customHeight="1" x14ac:dyDescent="0.25">
      <c r="A11" s="223"/>
      <c r="B11" s="67" t="s">
        <v>183</v>
      </c>
      <c r="C11" s="68">
        <v>0.14099999999999999</v>
      </c>
      <c r="D11" s="69"/>
      <c r="E11" s="70">
        <f t="shared" si="1"/>
        <v>200</v>
      </c>
      <c r="F11" s="11">
        <f t="shared" si="2"/>
        <v>28.199999999999996</v>
      </c>
      <c r="G11" s="11">
        <f t="shared" si="0"/>
        <v>180</v>
      </c>
      <c r="H11" s="15"/>
      <c r="I11" s="71"/>
    </row>
    <row r="12" spans="1:9" ht="18" customHeight="1" x14ac:dyDescent="0.25">
      <c r="A12" s="223"/>
      <c r="B12" s="67" t="s">
        <v>210</v>
      </c>
      <c r="C12" s="68">
        <v>0.14699999999999999</v>
      </c>
      <c r="D12" s="69">
        <v>200</v>
      </c>
      <c r="E12" s="70">
        <f t="shared" ref="E12:E21" si="9">(D12*2)+200</f>
        <v>600</v>
      </c>
      <c r="F12" s="11">
        <f t="shared" ref="F12:F21" si="10">E12*C12</f>
        <v>88.199999999999989</v>
      </c>
      <c r="G12" s="11">
        <f t="shared" si="0"/>
        <v>540</v>
      </c>
      <c r="H12" s="15"/>
      <c r="I12" s="71"/>
    </row>
    <row r="13" spans="1:9" ht="18" customHeight="1" x14ac:dyDescent="0.25">
      <c r="A13" s="223"/>
      <c r="B13" s="67" t="s">
        <v>184</v>
      </c>
      <c r="C13" s="68">
        <v>0.13300000000000001</v>
      </c>
      <c r="D13" s="69"/>
      <c r="E13" s="70">
        <f t="shared" si="9"/>
        <v>200</v>
      </c>
      <c r="F13" s="11">
        <f t="shared" si="10"/>
        <v>26.6</v>
      </c>
      <c r="G13" s="11">
        <f t="shared" si="0"/>
        <v>180</v>
      </c>
      <c r="H13" s="15"/>
      <c r="I13" s="71"/>
    </row>
    <row r="14" spans="1:9" ht="18" customHeight="1" x14ac:dyDescent="0.25">
      <c r="A14" s="223"/>
      <c r="B14" s="67" t="s">
        <v>185</v>
      </c>
      <c r="C14" s="68">
        <v>0.129</v>
      </c>
      <c r="D14" s="69">
        <v>125</v>
      </c>
      <c r="E14" s="70">
        <f t="shared" si="9"/>
        <v>450</v>
      </c>
      <c r="F14" s="11">
        <f t="shared" si="10"/>
        <v>58.050000000000004</v>
      </c>
      <c r="G14" s="145">
        <f t="shared" si="0"/>
        <v>405</v>
      </c>
      <c r="H14" s="15"/>
      <c r="I14" s="71"/>
    </row>
    <row r="15" spans="1:9" ht="18" customHeight="1" x14ac:dyDescent="0.25">
      <c r="A15" s="223"/>
      <c r="B15" s="127" t="s">
        <v>207</v>
      </c>
      <c r="C15" s="128">
        <v>0.14899999999999999</v>
      </c>
      <c r="D15" s="69"/>
      <c r="E15" s="70">
        <f t="shared" si="9"/>
        <v>200</v>
      </c>
      <c r="F15" s="11">
        <f t="shared" si="10"/>
        <v>29.799999999999997</v>
      </c>
      <c r="G15" s="11">
        <f t="shared" si="0"/>
        <v>180</v>
      </c>
      <c r="H15" s="15"/>
      <c r="I15" s="71"/>
    </row>
    <row r="16" spans="1:9" ht="18" customHeight="1" x14ac:dyDescent="0.25">
      <c r="A16" s="223"/>
      <c r="B16" s="127" t="s">
        <v>208</v>
      </c>
      <c r="C16" s="128">
        <v>0.19500000000000001</v>
      </c>
      <c r="D16" s="69">
        <v>120</v>
      </c>
      <c r="E16" s="70">
        <f t="shared" si="9"/>
        <v>440</v>
      </c>
      <c r="F16" s="11">
        <f t="shared" si="10"/>
        <v>85.8</v>
      </c>
      <c r="G16" s="11">
        <f t="shared" si="0"/>
        <v>396</v>
      </c>
      <c r="H16" s="15"/>
      <c r="I16" s="71"/>
    </row>
    <row r="17" spans="1:14" ht="18" customHeight="1" x14ac:dyDescent="0.25">
      <c r="A17" s="223"/>
      <c r="B17" s="67" t="s">
        <v>186</v>
      </c>
      <c r="C17" s="68">
        <v>0.13800000000000001</v>
      </c>
      <c r="D17" s="69">
        <v>190</v>
      </c>
      <c r="E17" s="70">
        <f t="shared" si="9"/>
        <v>580</v>
      </c>
      <c r="F17" s="11">
        <f t="shared" si="10"/>
        <v>80.040000000000006</v>
      </c>
      <c r="G17" s="11">
        <f t="shared" si="0"/>
        <v>522</v>
      </c>
      <c r="H17" s="15"/>
      <c r="I17" s="71"/>
    </row>
    <row r="18" spans="1:14" ht="18" customHeight="1" x14ac:dyDescent="0.25">
      <c r="A18" s="223"/>
      <c r="B18" s="67" t="s">
        <v>147</v>
      </c>
      <c r="C18" s="68">
        <v>0.2</v>
      </c>
      <c r="D18" s="69"/>
      <c r="E18" s="70">
        <f t="shared" si="9"/>
        <v>200</v>
      </c>
      <c r="F18" s="11">
        <f t="shared" si="10"/>
        <v>40</v>
      </c>
      <c r="G18" s="11">
        <f t="shared" si="0"/>
        <v>180</v>
      </c>
      <c r="H18" s="15"/>
      <c r="I18" s="71"/>
    </row>
    <row r="19" spans="1:14" ht="18" customHeight="1" x14ac:dyDescent="0.25">
      <c r="A19" s="223"/>
      <c r="B19" s="67" t="s">
        <v>187</v>
      </c>
      <c r="C19" s="68">
        <v>0.20300000000000001</v>
      </c>
      <c r="D19" s="69">
        <v>100</v>
      </c>
      <c r="E19" s="70">
        <f t="shared" si="9"/>
        <v>400</v>
      </c>
      <c r="F19" s="11">
        <f t="shared" si="10"/>
        <v>81.2</v>
      </c>
      <c r="G19" s="11">
        <f t="shared" si="0"/>
        <v>360</v>
      </c>
      <c r="H19" s="15"/>
      <c r="I19" s="71"/>
    </row>
    <row r="20" spans="1:14" ht="18" customHeight="1" x14ac:dyDescent="0.25">
      <c r="A20" s="223"/>
      <c r="B20" s="67" t="s">
        <v>188</v>
      </c>
      <c r="C20" s="68">
        <v>0.251</v>
      </c>
      <c r="D20" s="69"/>
      <c r="E20" s="70">
        <f t="shared" si="9"/>
        <v>200</v>
      </c>
      <c r="F20" s="11">
        <f t="shared" si="10"/>
        <v>50.2</v>
      </c>
      <c r="G20" s="11">
        <f t="shared" si="0"/>
        <v>180</v>
      </c>
      <c r="H20" s="175"/>
      <c r="I20" s="177"/>
    </row>
    <row r="21" spans="1:14" ht="18" customHeight="1" thickBot="1" x14ac:dyDescent="0.3">
      <c r="A21" s="224"/>
      <c r="B21" s="72" t="s">
        <v>189</v>
      </c>
      <c r="C21" s="73">
        <v>0.3</v>
      </c>
      <c r="D21" s="74"/>
      <c r="E21" s="75">
        <f t="shared" si="9"/>
        <v>200</v>
      </c>
      <c r="F21" s="9">
        <f t="shared" si="10"/>
        <v>60</v>
      </c>
      <c r="G21" s="9">
        <f t="shared" si="0"/>
        <v>180</v>
      </c>
      <c r="H21" s="176"/>
      <c r="I21" s="176"/>
    </row>
    <row r="24" spans="1:14" s="88" customFormat="1" ht="18" customHeight="1" x14ac:dyDescent="0.25">
      <c r="A24" s="107" t="s">
        <v>2</v>
      </c>
      <c r="B24" s="108" t="s">
        <v>3</v>
      </c>
      <c r="C24" s="109" t="s">
        <v>57</v>
      </c>
      <c r="D24" s="108" t="s">
        <v>1</v>
      </c>
      <c r="E24" s="108" t="s">
        <v>6</v>
      </c>
    </row>
    <row r="25" spans="1:14" s="88" customFormat="1" ht="18" hidden="1" customHeight="1" x14ac:dyDescent="0.25">
      <c r="A25" s="110">
        <v>4001</v>
      </c>
      <c r="B25" s="22" t="str">
        <f>MAPA!B8</f>
        <v>OTAVIO DA SILVEIRA LEMOS,6M</v>
      </c>
      <c r="C25" s="11">
        <f>MAPA!D8</f>
        <v>120</v>
      </c>
      <c r="D25" s="11">
        <f>MAPA!E8</f>
        <v>0</v>
      </c>
      <c r="E25" s="11" t="str">
        <f>MAPA!F8</f>
        <v>FL HIDROLISADA (15,9%)</v>
      </c>
      <c r="H25" s="111"/>
      <c r="I25" s="111"/>
      <c r="J25" s="111"/>
      <c r="K25" s="111"/>
    </row>
    <row r="26" spans="1:14" s="88" customFormat="1" ht="18" hidden="1" customHeight="1" x14ac:dyDescent="0.2">
      <c r="A26" s="110">
        <v>4002</v>
      </c>
      <c r="B26" s="22" t="str">
        <f>MAPA!B9</f>
        <v>BEATRIZ RUAS DA SILVA, 1A11M</v>
      </c>
      <c r="C26" s="11">
        <f>MAPA!D9</f>
        <v>90</v>
      </c>
      <c r="D26" s="11">
        <f>MAPA!E9</f>
        <v>0</v>
      </c>
      <c r="E26" s="11" t="str">
        <f>MAPA!F9</f>
        <v>FORTINI</v>
      </c>
      <c r="F26" s="112"/>
      <c r="G26" s="112"/>
      <c r="H26" s="111"/>
      <c r="I26" s="111"/>
      <c r="J26" s="111"/>
      <c r="K26" s="111"/>
    </row>
    <row r="27" spans="1:14" s="88" customFormat="1" ht="18" hidden="1" customHeight="1" x14ac:dyDescent="0.2">
      <c r="A27" s="110">
        <v>4003</v>
      </c>
      <c r="B27" s="22" t="str">
        <f>MAPA!B10</f>
        <v>ANTHONIA JULIA RANZAN  2A5M</v>
      </c>
      <c r="C27" s="11">
        <f>MAPA!D10</f>
        <v>240</v>
      </c>
      <c r="D27" s="11">
        <f>MAPA!E10</f>
        <v>0</v>
      </c>
      <c r="E27" s="11" t="str">
        <f>MAPA!F10</f>
        <v>LV + ACHOCOLATADO</v>
      </c>
      <c r="F27" s="112"/>
      <c r="G27" s="112"/>
      <c r="H27" s="87"/>
      <c r="I27" s="87"/>
      <c r="J27" s="87"/>
      <c r="K27" s="87"/>
      <c r="L27" s="87"/>
      <c r="M27" s="87"/>
      <c r="N27" s="87"/>
    </row>
    <row r="28" spans="1:14" s="114" customFormat="1" ht="18" hidden="1" customHeight="1" x14ac:dyDescent="0.25">
      <c r="A28" s="110">
        <v>4004</v>
      </c>
      <c r="B28" s="22" t="str">
        <f>MAPA!B11</f>
        <v>KEIVID LUAN KLAUCK 11A</v>
      </c>
      <c r="C28" s="11">
        <f>MAPA!D11</f>
        <v>60</v>
      </c>
      <c r="D28" s="11">
        <f>MAPA!E11</f>
        <v>0</v>
      </c>
      <c r="E28" s="11" t="str">
        <f>MAPA!F11</f>
        <v>FL HIDROLISADA</v>
      </c>
      <c r="F28" s="113"/>
      <c r="G28" s="113"/>
    </row>
    <row r="29" spans="1:14" s="88" customFormat="1" ht="18" hidden="1" customHeight="1" x14ac:dyDescent="0.25">
      <c r="A29" s="110">
        <v>4005</v>
      </c>
      <c r="B29" s="22" t="str">
        <f>MAPA!B12</f>
        <v>BIANCA GABRIELLY MACHADO, 6M</v>
      </c>
      <c r="C29" s="11">
        <f>MAPA!D12</f>
        <v>70</v>
      </c>
      <c r="D29" s="11">
        <f>MAPA!E12</f>
        <v>0</v>
      </c>
      <c r="E29" s="11" t="str">
        <f>MAPA!F12</f>
        <v>FL 1º SEMESTRE</v>
      </c>
      <c r="F29" s="20"/>
      <c r="G29" s="20"/>
    </row>
    <row r="30" spans="1:14" s="88" customFormat="1" ht="18" hidden="1" customHeight="1" x14ac:dyDescent="0.25">
      <c r="A30" s="110">
        <v>4006</v>
      </c>
      <c r="B30" s="22">
        <f>MAPA!B13</f>
        <v>0</v>
      </c>
      <c r="C30" s="11">
        <f>MAPA!D13</f>
        <v>0</v>
      </c>
      <c r="D30" s="11">
        <f>MAPA!E13</f>
        <v>0</v>
      </c>
      <c r="E30" s="11">
        <f>MAPA!F13</f>
        <v>0</v>
      </c>
      <c r="F30" s="20"/>
      <c r="G30" s="20"/>
    </row>
    <row r="31" spans="1:14" s="88" customFormat="1" ht="18" hidden="1" customHeight="1" x14ac:dyDescent="0.25">
      <c r="A31" s="110">
        <v>4007</v>
      </c>
      <c r="B31" s="22">
        <f>MAPA!B14</f>
        <v>0</v>
      </c>
      <c r="C31" s="11">
        <f>MAPA!D14</f>
        <v>0</v>
      </c>
      <c r="D31" s="11">
        <f>MAPA!E14</f>
        <v>0</v>
      </c>
      <c r="E31" s="11">
        <f>MAPA!F14</f>
        <v>0</v>
      </c>
      <c r="F31" s="20"/>
      <c r="G31" s="20"/>
    </row>
    <row r="32" spans="1:14" s="88" customFormat="1" ht="18" hidden="1" customHeight="1" x14ac:dyDescent="0.25">
      <c r="A32" s="110">
        <v>4008</v>
      </c>
      <c r="B32" s="22" t="str">
        <f>MAPA!B15</f>
        <v>MARIA FLORÊNCIA A. M. DUARTE, 2A3M</v>
      </c>
      <c r="C32" s="11">
        <f>MAPA!D15</f>
        <v>100</v>
      </c>
      <c r="D32" s="11" t="str">
        <f>MAPA!E15</f>
        <v>-</v>
      </c>
      <c r="E32" s="11" t="str">
        <f>MAPA!F15</f>
        <v>FORTINI</v>
      </c>
      <c r="F32" s="20"/>
      <c r="G32" s="20"/>
    </row>
    <row r="33" spans="1:7" s="88" customFormat="1" ht="18" hidden="1" customHeight="1" x14ac:dyDescent="0.25">
      <c r="A33" s="110">
        <v>4009</v>
      </c>
      <c r="B33" s="22">
        <f>MAPA!B16</f>
        <v>0</v>
      </c>
      <c r="C33" s="11">
        <f>MAPA!D16</f>
        <v>0</v>
      </c>
      <c r="D33" s="11">
        <f>MAPA!E16</f>
        <v>0</v>
      </c>
      <c r="E33" s="11">
        <f>MAPA!F16</f>
        <v>0</v>
      </c>
      <c r="F33" s="20"/>
      <c r="G33" s="20"/>
    </row>
    <row r="34" spans="1:7" s="88" customFormat="1" ht="18" hidden="1" customHeight="1" x14ac:dyDescent="0.25">
      <c r="A34" s="115">
        <v>4010</v>
      </c>
      <c r="B34" s="22" t="str">
        <f>MAPA!B17</f>
        <v>ALICE MANUELLA DORNELES, 8M</v>
      </c>
      <c r="C34" s="11">
        <f>MAPA!D17</f>
        <v>140</v>
      </c>
      <c r="D34" s="11">
        <f>MAPA!E17</f>
        <v>0</v>
      </c>
      <c r="E34" s="11" t="str">
        <f>MAPA!F17</f>
        <v>FL AA + MMD ROSA COMUM</v>
      </c>
      <c r="F34" s="20"/>
      <c r="G34" s="20"/>
    </row>
    <row r="35" spans="1:7" s="88" customFormat="1" ht="18" hidden="1" customHeight="1" x14ac:dyDescent="0.25">
      <c r="A35" s="116" t="s">
        <v>10</v>
      </c>
      <c r="B35" s="22" t="str">
        <f>MAPA!B22</f>
        <v>LOUISE REOLON CHUVAS, 4A</v>
      </c>
      <c r="C35" s="11">
        <f>MAPA!D22</f>
        <v>240</v>
      </c>
      <c r="D35" s="11">
        <f>MAPA!E22</f>
        <v>0</v>
      </c>
      <c r="E35" s="11" t="str">
        <f>MAPA!F22</f>
        <v>LV+ACHOCOLATADO</v>
      </c>
      <c r="F35" s="20"/>
      <c r="G35" s="20"/>
    </row>
    <row r="36" spans="1:7" s="88" customFormat="1" ht="18" hidden="1" customHeight="1" x14ac:dyDescent="0.25">
      <c r="A36" s="116" t="s">
        <v>11</v>
      </c>
      <c r="B36" s="22">
        <f>MAPA!B23</f>
        <v>0</v>
      </c>
      <c r="C36" s="11">
        <f>MAPA!D23</f>
        <v>0</v>
      </c>
      <c r="D36" s="11">
        <f>MAPA!E23</f>
        <v>0</v>
      </c>
      <c r="E36" s="11">
        <f>MAPA!F23</f>
        <v>0</v>
      </c>
      <c r="F36" s="20"/>
      <c r="G36" s="20"/>
    </row>
    <row r="37" spans="1:7" s="88" customFormat="1" ht="18" hidden="1" customHeight="1" x14ac:dyDescent="0.25">
      <c r="A37" s="117" t="s">
        <v>12</v>
      </c>
      <c r="B37" s="22">
        <f>MAPA!B24</f>
        <v>0</v>
      </c>
      <c r="C37" s="11">
        <f>MAPA!D24</f>
        <v>0</v>
      </c>
      <c r="D37" s="11">
        <f>MAPA!E24</f>
        <v>0</v>
      </c>
      <c r="E37" s="11">
        <f>MAPA!F24</f>
        <v>0</v>
      </c>
      <c r="F37" s="20"/>
      <c r="G37" s="20"/>
    </row>
    <row r="38" spans="1:7" s="88" customFormat="1" ht="18" hidden="1" customHeight="1" x14ac:dyDescent="0.25">
      <c r="A38" s="117" t="s">
        <v>13</v>
      </c>
      <c r="B38" s="22">
        <f>MAPA!B25</f>
        <v>0</v>
      </c>
      <c r="C38" s="11">
        <f>MAPA!D25</f>
        <v>0</v>
      </c>
      <c r="D38" s="11">
        <f>MAPA!E25</f>
        <v>0</v>
      </c>
      <c r="E38" s="11">
        <f>MAPA!F25</f>
        <v>0</v>
      </c>
      <c r="F38" s="20"/>
      <c r="G38" s="20"/>
    </row>
    <row r="39" spans="1:7" s="88" customFormat="1" ht="18" hidden="1" customHeight="1" x14ac:dyDescent="0.25">
      <c r="A39" s="117" t="s">
        <v>14</v>
      </c>
      <c r="B39" s="22" t="str">
        <f>MAPA!B26</f>
        <v>LUIZ FELIPE ELIAS SILVA, 9M</v>
      </c>
      <c r="C39" s="11">
        <f>MAPA!D26</f>
        <v>200</v>
      </c>
      <c r="D39" s="11">
        <f>MAPA!E26</f>
        <v>0</v>
      </c>
      <c r="E39" s="11" t="str">
        <f>MAPA!F26</f>
        <v>FL 2º SEMESTRE</v>
      </c>
      <c r="F39" s="20"/>
      <c r="G39" s="20"/>
    </row>
    <row r="40" spans="1:7" s="88" customFormat="1" ht="18" hidden="1" customHeight="1" x14ac:dyDescent="0.25">
      <c r="A40" s="117" t="s">
        <v>15</v>
      </c>
      <c r="B40" s="22">
        <f>MAPA!B27</f>
        <v>0</v>
      </c>
      <c r="C40" s="11">
        <f>MAPA!D27</f>
        <v>0</v>
      </c>
      <c r="D40" s="11">
        <f>MAPA!E28</f>
        <v>0</v>
      </c>
      <c r="E40" s="11">
        <f>MAPA!F27</f>
        <v>0</v>
      </c>
      <c r="F40" s="20"/>
      <c r="G40" s="20"/>
    </row>
    <row r="41" spans="1:7" s="88" customFormat="1" ht="18" hidden="1" customHeight="1" x14ac:dyDescent="0.25">
      <c r="A41" s="117" t="s">
        <v>16</v>
      </c>
      <c r="B41" s="22">
        <f>MAPA!B28</f>
        <v>0</v>
      </c>
      <c r="C41" s="11">
        <f>MAPA!D28</f>
        <v>0</v>
      </c>
      <c r="D41" s="11">
        <f>MAPA!E28</f>
        <v>0</v>
      </c>
      <c r="E41" s="11">
        <f>MAPA!F28</f>
        <v>0</v>
      </c>
      <c r="F41" s="20"/>
      <c r="G41" s="20"/>
    </row>
    <row r="42" spans="1:7" s="88" customFormat="1" ht="18" hidden="1" customHeight="1" x14ac:dyDescent="0.25">
      <c r="A42" s="117" t="s">
        <v>17</v>
      </c>
      <c r="B42" s="22">
        <f>MAPA!B29</f>
        <v>0</v>
      </c>
      <c r="C42" s="11">
        <f>MAPA!D29</f>
        <v>0</v>
      </c>
      <c r="D42" s="11">
        <f>MAPA!E29</f>
        <v>0</v>
      </c>
      <c r="E42" s="11">
        <f>MAPA!F30</f>
        <v>0</v>
      </c>
      <c r="F42" s="20"/>
      <c r="G42" s="20"/>
    </row>
    <row r="43" spans="1:7" s="88" customFormat="1" ht="18" hidden="1" customHeight="1" x14ac:dyDescent="0.25">
      <c r="A43" s="117" t="s">
        <v>18</v>
      </c>
      <c r="B43" s="22">
        <f>MAPA!B30</f>
        <v>0</v>
      </c>
      <c r="C43" s="11">
        <f>MAPA!D30</f>
        <v>0</v>
      </c>
      <c r="D43" s="11">
        <f>MAPA!E30</f>
        <v>0</v>
      </c>
      <c r="E43" s="11">
        <f>MAPA!F30</f>
        <v>0</v>
      </c>
      <c r="F43" s="20"/>
      <c r="G43" s="20"/>
    </row>
    <row r="44" spans="1:7" s="88" customFormat="1" ht="18" hidden="1" customHeight="1" x14ac:dyDescent="0.25">
      <c r="A44" s="117" t="s">
        <v>19</v>
      </c>
      <c r="B44" s="22">
        <f>MAPA!B31</f>
        <v>0</v>
      </c>
      <c r="C44" s="11">
        <f>MAPA!D31</f>
        <v>0</v>
      </c>
      <c r="D44" s="11">
        <f>MAPA!E31</f>
        <v>0</v>
      </c>
      <c r="E44" s="11">
        <f>MAPA!F31</f>
        <v>0</v>
      </c>
      <c r="F44" s="20"/>
      <c r="G44" s="20"/>
    </row>
    <row r="45" spans="1:7" s="88" customFormat="1" ht="18" hidden="1" customHeight="1" x14ac:dyDescent="0.25">
      <c r="A45" s="117" t="s">
        <v>20</v>
      </c>
      <c r="B45" s="22">
        <f>MAPA!B32</f>
        <v>0</v>
      </c>
      <c r="C45" s="11">
        <f>MAPA!D32</f>
        <v>0</v>
      </c>
      <c r="D45" s="11">
        <f>MAPA!E32</f>
        <v>0</v>
      </c>
      <c r="E45" s="11">
        <f>MAPA!F32</f>
        <v>0</v>
      </c>
      <c r="F45" s="20"/>
      <c r="G45" s="20"/>
    </row>
    <row r="46" spans="1:7" s="88" customFormat="1" ht="18" hidden="1" customHeight="1" x14ac:dyDescent="0.25">
      <c r="A46" s="117" t="s">
        <v>21</v>
      </c>
      <c r="B46" s="22">
        <f>MAPA!B33</f>
        <v>0</v>
      </c>
      <c r="C46" s="11">
        <f>MAPA!D33</f>
        <v>0</v>
      </c>
      <c r="D46" s="11">
        <f>MAPA!E33</f>
        <v>0</v>
      </c>
      <c r="E46" s="11">
        <f>MAPA!F33</f>
        <v>0</v>
      </c>
      <c r="F46" s="20"/>
      <c r="G46" s="20"/>
    </row>
    <row r="47" spans="1:7" s="88" customFormat="1" ht="18" hidden="1" customHeight="1" x14ac:dyDescent="0.25">
      <c r="A47" s="117" t="s">
        <v>22</v>
      </c>
      <c r="B47" s="22">
        <f>MAPA!B34</f>
        <v>0</v>
      </c>
      <c r="C47" s="11">
        <f>MAPA!D34</f>
        <v>0</v>
      </c>
      <c r="D47" s="11">
        <f>MAPA!E34</f>
        <v>0</v>
      </c>
      <c r="E47" s="11">
        <f>MAPA!F34</f>
        <v>0</v>
      </c>
      <c r="F47" s="20"/>
      <c r="G47" s="20"/>
    </row>
    <row r="48" spans="1:7" s="88" customFormat="1" ht="18" hidden="1" customHeight="1" x14ac:dyDescent="0.25">
      <c r="A48" s="117" t="s">
        <v>23</v>
      </c>
      <c r="B48" s="22">
        <f>MAPA!B35</f>
        <v>0</v>
      </c>
      <c r="C48" s="11">
        <f>MAPA!D35</f>
        <v>0</v>
      </c>
      <c r="D48" s="11">
        <f>MAPA!E35</f>
        <v>0</v>
      </c>
      <c r="E48" s="11">
        <f>MAPA!F35</f>
        <v>0</v>
      </c>
      <c r="F48" s="20"/>
      <c r="G48" s="20"/>
    </row>
    <row r="49" spans="1:9" s="88" customFormat="1" ht="18" hidden="1" customHeight="1" x14ac:dyDescent="0.25">
      <c r="A49" s="117" t="s">
        <v>24</v>
      </c>
      <c r="B49" s="22">
        <f>MAPA!B36</f>
        <v>0</v>
      </c>
      <c r="C49" s="11">
        <f>MAPA!D36</f>
        <v>0</v>
      </c>
      <c r="D49" s="11">
        <f>MAPA!E36</f>
        <v>0</v>
      </c>
      <c r="E49" s="11">
        <f>MAPA!F36</f>
        <v>0</v>
      </c>
      <c r="F49" s="20"/>
      <c r="G49" s="20"/>
      <c r="I49" s="118"/>
    </row>
    <row r="50" spans="1:9" s="88" customFormat="1" ht="18" hidden="1" customHeight="1" x14ac:dyDescent="0.25">
      <c r="A50" s="117" t="s">
        <v>25</v>
      </c>
      <c r="B50" s="22" t="str">
        <f>MAPA!B37</f>
        <v>ISABELA COUTO 2A</v>
      </c>
      <c r="C50" s="11">
        <f>MAPA!D37</f>
        <v>240</v>
      </c>
      <c r="D50" s="11">
        <f>MAPA!E37</f>
        <v>0</v>
      </c>
      <c r="E50" s="11" t="str">
        <f>MAPA!F37</f>
        <v>LV+ACHO</v>
      </c>
      <c r="F50" s="20"/>
      <c r="G50" s="20"/>
    </row>
    <row r="51" spans="1:9" s="88" customFormat="1" ht="18" hidden="1" customHeight="1" x14ac:dyDescent="0.25">
      <c r="A51" s="117" t="s">
        <v>26</v>
      </c>
      <c r="B51" s="22">
        <f>MAPA!B38</f>
        <v>0</v>
      </c>
      <c r="C51" s="11">
        <f>MAPA!D38</f>
        <v>0</v>
      </c>
      <c r="D51" s="11">
        <f>MAPA!E38</f>
        <v>0</v>
      </c>
      <c r="E51" s="11">
        <f>MAPA!F38</f>
        <v>0</v>
      </c>
      <c r="F51" s="20"/>
      <c r="G51" s="20"/>
    </row>
    <row r="52" spans="1:9" s="88" customFormat="1" ht="18" hidden="1" customHeight="1" x14ac:dyDescent="0.25">
      <c r="A52" s="117" t="s">
        <v>27</v>
      </c>
      <c r="B52" s="22">
        <f>MAPA!B39</f>
        <v>0</v>
      </c>
      <c r="C52" s="11">
        <f>MAPA!D39</f>
        <v>0</v>
      </c>
      <c r="D52" s="11">
        <f>MAPA!E39</f>
        <v>0</v>
      </c>
      <c r="E52" s="11">
        <f>MAPA!F39</f>
        <v>0</v>
      </c>
      <c r="F52" s="20"/>
      <c r="G52" s="20"/>
    </row>
    <row r="53" spans="1:9" s="88" customFormat="1" ht="18" hidden="1" customHeight="1" x14ac:dyDescent="0.25">
      <c r="A53" s="117" t="s">
        <v>28</v>
      </c>
      <c r="B53" s="22">
        <f>MAPA!B40</f>
        <v>0</v>
      </c>
      <c r="C53" s="11">
        <f>MAPA!D40</f>
        <v>0</v>
      </c>
      <c r="D53" s="11">
        <f>MAPA!E40</f>
        <v>0</v>
      </c>
      <c r="E53" s="11">
        <f>MAPA!F40</f>
        <v>0</v>
      </c>
      <c r="F53" s="20"/>
      <c r="G53" s="20"/>
    </row>
    <row r="54" spans="1:9" s="88" customFormat="1" ht="18" hidden="1" customHeight="1" x14ac:dyDescent="0.25">
      <c r="A54" s="117" t="s">
        <v>29</v>
      </c>
      <c r="B54" s="22">
        <f>MAPA!B41</f>
        <v>0</v>
      </c>
      <c r="C54" s="11">
        <f>MAPA!D41</f>
        <v>0</v>
      </c>
      <c r="D54" s="11">
        <f>MAPA!E41</f>
        <v>0</v>
      </c>
      <c r="E54" s="11">
        <f>MAPA!F41</f>
        <v>0</v>
      </c>
      <c r="F54" s="20"/>
      <c r="G54" s="20"/>
    </row>
    <row r="55" spans="1:9" s="88" customFormat="1" ht="18" hidden="1" customHeight="1" x14ac:dyDescent="0.25">
      <c r="A55" s="117" t="s">
        <v>30</v>
      </c>
      <c r="B55" s="22">
        <f>MAPA!B42</f>
        <v>0</v>
      </c>
      <c r="C55" s="11">
        <f>MAPA!D42</f>
        <v>0</v>
      </c>
      <c r="D55" s="11">
        <f>MAPA!E42</f>
        <v>0</v>
      </c>
      <c r="E55" s="11">
        <f>MAPA!F42</f>
        <v>0</v>
      </c>
      <c r="F55" s="20"/>
      <c r="G55" s="20"/>
    </row>
    <row r="56" spans="1:9" s="88" customFormat="1" ht="18" hidden="1" customHeight="1" x14ac:dyDescent="0.25">
      <c r="A56" s="117" t="s">
        <v>31</v>
      </c>
      <c r="B56" s="22">
        <f>MAPA!B43</f>
        <v>0</v>
      </c>
      <c r="C56" s="11">
        <f>MAPA!D43</f>
        <v>0</v>
      </c>
      <c r="D56" s="11">
        <f>MAPA!E43</f>
        <v>0</v>
      </c>
      <c r="E56" s="11">
        <f>MAPA!F43</f>
        <v>0</v>
      </c>
      <c r="F56" s="20"/>
      <c r="G56" s="20"/>
    </row>
    <row r="57" spans="1:9" s="88" customFormat="1" ht="18" hidden="1" customHeight="1" x14ac:dyDescent="0.25">
      <c r="A57" s="117" t="s">
        <v>32</v>
      </c>
      <c r="B57" s="22">
        <f>MAPA!B44</f>
        <v>0</v>
      </c>
      <c r="C57" s="11">
        <f>MAPA!D44</f>
        <v>0</v>
      </c>
      <c r="D57" s="11">
        <f>MAPA!E44</f>
        <v>0</v>
      </c>
      <c r="E57" s="11">
        <f>MAPA!F44</f>
        <v>0</v>
      </c>
      <c r="F57" s="20"/>
      <c r="G57" s="20"/>
    </row>
    <row r="58" spans="1:9" s="88" customFormat="1" ht="18" hidden="1" customHeight="1" x14ac:dyDescent="0.25">
      <c r="A58" s="117" t="s">
        <v>33</v>
      </c>
      <c r="B58" s="22">
        <f>MAPA!B45</f>
        <v>0</v>
      </c>
      <c r="C58" s="11">
        <f>MAPA!D45</f>
        <v>0</v>
      </c>
      <c r="D58" s="11">
        <f>MAPA!E45</f>
        <v>0</v>
      </c>
      <c r="E58" s="11">
        <f>MAPA!F45</f>
        <v>0</v>
      </c>
      <c r="F58" s="20"/>
      <c r="G58" s="20"/>
    </row>
    <row r="59" spans="1:9" s="88" customFormat="1" ht="18" hidden="1" customHeight="1" x14ac:dyDescent="0.25">
      <c r="A59" s="117" t="s">
        <v>34</v>
      </c>
      <c r="B59" s="22">
        <f>MAPA!B46</f>
        <v>0</v>
      </c>
      <c r="C59" s="11">
        <f>MAPA!D46</f>
        <v>0</v>
      </c>
      <c r="D59" s="11" t="str">
        <f>MAPA!E46</f>
        <v>-</v>
      </c>
      <c r="E59" s="11">
        <f>MAPA!F46</f>
        <v>0</v>
      </c>
      <c r="F59" s="20"/>
      <c r="G59" s="20"/>
    </row>
    <row r="60" spans="1:9" s="88" customFormat="1" ht="18" hidden="1" customHeight="1" x14ac:dyDescent="0.25">
      <c r="A60" s="117" t="s">
        <v>35</v>
      </c>
      <c r="B60" s="22">
        <f>MAPA!B47</f>
        <v>0</v>
      </c>
      <c r="C60" s="11">
        <f>MAPA!D47</f>
        <v>0</v>
      </c>
      <c r="D60" s="11" t="str">
        <f>MAPA!E47</f>
        <v>-</v>
      </c>
      <c r="E60" s="11">
        <f>MAPA!F47</f>
        <v>0</v>
      </c>
      <c r="F60" s="20"/>
      <c r="G60" s="20"/>
    </row>
    <row r="61" spans="1:9" s="88" customFormat="1" ht="18" hidden="1" customHeight="1" x14ac:dyDescent="0.25">
      <c r="A61" s="117" t="s">
        <v>36</v>
      </c>
      <c r="B61" s="22">
        <f>MAPA!B48</f>
        <v>0</v>
      </c>
      <c r="C61" s="11">
        <f>MAPA!D48</f>
        <v>0</v>
      </c>
      <c r="D61" s="11" t="str">
        <f>MAPA!E48</f>
        <v>-</v>
      </c>
      <c r="E61" s="11">
        <f>MAPA!F48</f>
        <v>0</v>
      </c>
      <c r="F61" s="20"/>
      <c r="G61" s="20"/>
    </row>
    <row r="62" spans="1:9" s="88" customFormat="1" ht="18" hidden="1" customHeight="1" x14ac:dyDescent="0.25">
      <c r="A62" s="117" t="s">
        <v>37</v>
      </c>
      <c r="B62" s="22" t="str">
        <f>MAPA!B49</f>
        <v>MURILO SILVEIRA, 6A</v>
      </c>
      <c r="C62" s="11">
        <f>MAPA!D49</f>
        <v>200</v>
      </c>
      <c r="D62" s="11">
        <f>MAPA!E49</f>
        <v>0</v>
      </c>
      <c r="E62" s="11" t="str">
        <f>MAPA!F49</f>
        <v>LV+MUCILON</v>
      </c>
      <c r="F62" s="20"/>
      <c r="G62" s="20"/>
    </row>
    <row r="63" spans="1:9" s="88" customFormat="1" ht="18" hidden="1" customHeight="1" x14ac:dyDescent="0.25">
      <c r="A63" s="117" t="s">
        <v>38</v>
      </c>
      <c r="B63" s="22">
        <f>MAPA!B50</f>
        <v>0</v>
      </c>
      <c r="C63" s="11">
        <f>MAPA!D50</f>
        <v>0</v>
      </c>
      <c r="D63" s="11">
        <f>MAPA!E50</f>
        <v>0</v>
      </c>
      <c r="E63" s="11">
        <f>MAPA!F50</f>
        <v>0</v>
      </c>
      <c r="F63" s="20"/>
      <c r="G63" s="20"/>
    </row>
    <row r="64" spans="1:9" s="88" customFormat="1" ht="18" hidden="1" customHeight="1" x14ac:dyDescent="0.25">
      <c r="A64" s="117" t="s">
        <v>39</v>
      </c>
      <c r="B64" s="22">
        <f>MAPA!B51</f>
        <v>0</v>
      </c>
      <c r="C64" s="11">
        <f>MAPA!D51</f>
        <v>0</v>
      </c>
      <c r="D64" s="11">
        <f>MAPA!E51</f>
        <v>0</v>
      </c>
      <c r="E64" s="11">
        <f>MAPA!F51</f>
        <v>0</v>
      </c>
      <c r="F64" s="20"/>
      <c r="G64" s="20"/>
    </row>
    <row r="65" spans="1:7" s="88" customFormat="1" ht="18" hidden="1" customHeight="1" x14ac:dyDescent="0.25">
      <c r="A65" s="117" t="s">
        <v>40</v>
      </c>
      <c r="B65" s="22" t="str">
        <f>MAPA!B52</f>
        <v>AGATHA GABRIELE DA COSTA, 1A8M</v>
      </c>
      <c r="C65" s="11">
        <f>MAPA!D52</f>
        <v>100</v>
      </c>
      <c r="D65" s="11">
        <f>MAPA!E52</f>
        <v>0</v>
      </c>
      <c r="E65" s="11" t="str">
        <f>MAPA!F52</f>
        <v>FORTINI (18,3%)</v>
      </c>
      <c r="F65" s="20"/>
      <c r="G65" s="20"/>
    </row>
    <row r="66" spans="1:7" s="88" customFormat="1" ht="18" hidden="1" customHeight="1" x14ac:dyDescent="0.25">
      <c r="A66" s="117" t="s">
        <v>41</v>
      </c>
      <c r="B66" s="22">
        <f>MAPA!B53</f>
        <v>0</v>
      </c>
      <c r="C66" s="11">
        <f>MAPA!D53</f>
        <v>0</v>
      </c>
      <c r="D66" s="11" t="str">
        <f>MAPA!E53</f>
        <v>-</v>
      </c>
      <c r="E66" s="11">
        <f>MAPA!F53</f>
        <v>0</v>
      </c>
      <c r="F66" s="20"/>
      <c r="G66" s="20"/>
    </row>
    <row r="67" spans="1:7" s="88" customFormat="1" ht="18" hidden="1" customHeight="1" x14ac:dyDescent="0.25">
      <c r="A67" s="117" t="s">
        <v>42</v>
      </c>
      <c r="B67" s="22">
        <f>MAPA!B54</f>
        <v>0</v>
      </c>
      <c r="C67" s="11">
        <f>MAPA!D54</f>
        <v>0</v>
      </c>
      <c r="D67" s="11" t="str">
        <f>MAPA!E54</f>
        <v>-</v>
      </c>
      <c r="E67" s="11">
        <f>MAPA!F54</f>
        <v>0</v>
      </c>
      <c r="F67" s="20"/>
      <c r="G67" s="20"/>
    </row>
    <row r="68" spans="1:7" s="88" customFormat="1" ht="18" customHeight="1" x14ac:dyDescent="0.25">
      <c r="A68" s="117" t="s">
        <v>43</v>
      </c>
      <c r="B68" s="22" t="str">
        <f>MAPA!B55</f>
        <v>MARIA FLOR KIELING DA ROSA, 1A7M</v>
      </c>
      <c r="C68" s="11">
        <f>MAPA!D55</f>
        <v>100</v>
      </c>
      <c r="D68" s="11">
        <f>MAPA!E55</f>
        <v>0</v>
      </c>
      <c r="E68" s="11" t="str">
        <f>MAPA!F55</f>
        <v>FORTINI (20,3%)</v>
      </c>
      <c r="F68" s="20"/>
      <c r="G68" s="20"/>
    </row>
    <row r="69" spans="1:7" s="88" customFormat="1" ht="18" hidden="1" customHeight="1" x14ac:dyDescent="0.25">
      <c r="A69" s="117" t="s">
        <v>44</v>
      </c>
      <c r="B69" s="22">
        <f>MAPA!B56</f>
        <v>0</v>
      </c>
      <c r="C69" s="11">
        <f>MAPA!D56</f>
        <v>0</v>
      </c>
      <c r="D69" s="11" t="str">
        <f>MAPA!E56</f>
        <v>-</v>
      </c>
      <c r="E69" s="11">
        <f>MAPA!F56</f>
        <v>0</v>
      </c>
      <c r="F69" s="20"/>
      <c r="G69" s="20"/>
    </row>
    <row r="70" spans="1:7" s="88" customFormat="1" ht="18" hidden="1" customHeight="1" x14ac:dyDescent="0.25">
      <c r="A70" s="117" t="s">
        <v>45</v>
      </c>
      <c r="B70" s="22">
        <f>MAPA!B57</f>
        <v>0</v>
      </c>
      <c r="C70" s="11">
        <f>MAPA!D57</f>
        <v>0</v>
      </c>
      <c r="D70" s="11">
        <f>MAPA!E57</f>
        <v>0</v>
      </c>
      <c r="E70" s="11">
        <f>MAPA!F57</f>
        <v>0</v>
      </c>
      <c r="F70" s="20"/>
      <c r="G70" s="20"/>
    </row>
    <row r="71" spans="1:7" s="88" customFormat="1" ht="18" hidden="1" customHeight="1" x14ac:dyDescent="0.25">
      <c r="A71" s="117" t="s">
        <v>46</v>
      </c>
      <c r="B71" s="22" t="str">
        <f>MAPA!B58</f>
        <v>HENRY MICAEL DORNELES 1M</v>
      </c>
      <c r="C71" s="11">
        <f>MAPA!D58</f>
        <v>60</v>
      </c>
      <c r="D71" s="11">
        <f>MAPA!E58</f>
        <v>0</v>
      </c>
      <c r="E71" s="11" t="str">
        <f>MAPA!F58</f>
        <v>FL 1º SEMESTRE (17,5%)</v>
      </c>
      <c r="F71" s="20"/>
      <c r="G71" s="20"/>
    </row>
    <row r="72" spans="1:7" s="88" customFormat="1" ht="18" hidden="1" customHeight="1" x14ac:dyDescent="0.25">
      <c r="A72" s="117" t="s">
        <v>47</v>
      </c>
      <c r="B72" s="22" t="str">
        <f>MAPA!B59</f>
        <v>MANUELA NASCIMENTO 3M</v>
      </c>
      <c r="C72" s="11">
        <f>MAPA!D59</f>
        <v>80</v>
      </c>
      <c r="D72" s="11">
        <f>MAPA!E59</f>
        <v>0</v>
      </c>
      <c r="E72" s="11" t="str">
        <f>MAPA!F59</f>
        <v>FL 1° SEMESTRE(NAN CONFOR)</v>
      </c>
      <c r="F72" s="20"/>
      <c r="G72" s="20"/>
    </row>
    <row r="73" spans="1:7" s="88" customFormat="1" ht="18" hidden="1" customHeight="1" x14ac:dyDescent="0.25">
      <c r="A73" s="117" t="s">
        <v>48</v>
      </c>
      <c r="B73" s="22">
        <f>MAPA!B60</f>
        <v>0</v>
      </c>
      <c r="C73" s="11">
        <f>MAPA!D60</f>
        <v>0</v>
      </c>
      <c r="D73" s="11">
        <f>MAPA!E60</f>
        <v>0</v>
      </c>
      <c r="E73" s="11">
        <f>MAPA!F60</f>
        <v>0</v>
      </c>
      <c r="F73" s="20"/>
      <c r="G73" s="20"/>
    </row>
    <row r="74" spans="1:7" s="88" customFormat="1" ht="18" hidden="1" customHeight="1" x14ac:dyDescent="0.25">
      <c r="A74" s="116" t="s">
        <v>49</v>
      </c>
      <c r="B74" s="22" t="str">
        <f>MAPA!B61</f>
        <v>JOAQUIM BGS REIS, 11M</v>
      </c>
      <c r="C74" s="11">
        <f>MAPA!D61</f>
        <v>240</v>
      </c>
      <c r="D74" s="11">
        <f>MAPA!E61</f>
        <v>0</v>
      </c>
      <c r="E74" s="11" t="str">
        <f>MAPA!F61</f>
        <v>FL 2º SEMESTRE</v>
      </c>
      <c r="F74" s="20"/>
      <c r="G74" s="20"/>
    </row>
    <row r="75" spans="1:7" s="88" customFormat="1" ht="18" hidden="1" customHeight="1" x14ac:dyDescent="0.25">
      <c r="A75" s="116" t="s">
        <v>50</v>
      </c>
      <c r="B75" s="22" t="str">
        <f>MAPA!B62</f>
        <v>VALENTIM DA SILVEIRA RODRIGUES, 1M</v>
      </c>
      <c r="C75" s="11">
        <f>MAPA!D62</f>
        <v>120</v>
      </c>
      <c r="D75" s="11">
        <f>MAPA!E62</f>
        <v>0</v>
      </c>
      <c r="E75" s="11" t="str">
        <f>MAPA!F62</f>
        <v>FL 1º SEMESTRE</v>
      </c>
      <c r="F75" s="20"/>
      <c r="G75" s="20"/>
    </row>
    <row r="76" spans="1:7" s="88" customFormat="1" ht="18" hidden="1" customHeight="1" x14ac:dyDescent="0.25">
      <c r="A76" s="116" t="s">
        <v>51</v>
      </c>
      <c r="B76" s="22" t="str">
        <f>MAPA!B63</f>
        <v>LORRANA BEATRIZ CARDOSO, 1A</v>
      </c>
      <c r="C76" s="11">
        <f>MAPA!D63</f>
        <v>240</v>
      </c>
      <c r="D76" s="11">
        <f>MAPA!E63</f>
        <v>0</v>
      </c>
      <c r="E76" s="11" t="str">
        <f>MAPA!F63</f>
        <v>LV+ACHOCOLATADO</v>
      </c>
      <c r="F76" s="20"/>
      <c r="G76" s="20"/>
    </row>
    <row r="77" spans="1:7" s="88" customFormat="1" ht="18" hidden="1" customHeight="1" x14ac:dyDescent="0.25">
      <c r="A77" s="119">
        <v>4201</v>
      </c>
      <c r="B77" s="23" t="str">
        <f>MAPA!B68</f>
        <v>RN DE MAIRA ALEXANDRA (Augusto)</v>
      </c>
      <c r="C77" s="11">
        <f>MAPA!D68</f>
        <v>40</v>
      </c>
      <c r="D77" s="11" t="str">
        <f>MAPA!E68</f>
        <v>LM</v>
      </c>
      <c r="E77" s="11" t="str">
        <f>MAPA!F68</f>
        <v>FL TRANSIÇÃO</v>
      </c>
      <c r="F77" s="20"/>
      <c r="G77" s="20"/>
    </row>
    <row r="78" spans="1:7" s="88" customFormat="1" ht="18" hidden="1" customHeight="1" x14ac:dyDescent="0.25">
      <c r="A78" s="119">
        <v>4202</v>
      </c>
      <c r="B78" s="23">
        <f>MAPA!B69</f>
        <v>0</v>
      </c>
      <c r="C78" s="11">
        <f>MAPA!D69</f>
        <v>0</v>
      </c>
      <c r="D78" s="11">
        <f>MAPA!E69</f>
        <v>0</v>
      </c>
      <c r="E78" s="11">
        <f>MAPA!F69</f>
        <v>0</v>
      </c>
      <c r="F78" s="20"/>
      <c r="G78" s="20"/>
    </row>
    <row r="79" spans="1:7" s="88" customFormat="1" ht="18" hidden="1" customHeight="1" x14ac:dyDescent="0.25">
      <c r="A79" s="119">
        <v>4203</v>
      </c>
      <c r="B79" s="23" t="str">
        <f>MAPA!B70</f>
        <v>RN DE ANA CLAUDIA VARGAS (Manuela)</v>
      </c>
      <c r="C79" s="11">
        <f>MAPA!D70</f>
        <v>32</v>
      </c>
      <c r="D79" s="11" t="str">
        <f>MAPA!E70</f>
        <v>LM + FM</v>
      </c>
      <c r="E79" s="11" t="str">
        <f>MAPA!F70</f>
        <v>FL PREMATURO</v>
      </c>
      <c r="F79" s="20"/>
      <c r="G79" s="20"/>
    </row>
    <row r="80" spans="1:7" s="88" customFormat="1" ht="18" hidden="1" customHeight="1" x14ac:dyDescent="0.25">
      <c r="A80" s="119">
        <v>4204</v>
      </c>
      <c r="B80" s="23" t="str">
        <f>MAPA!B71</f>
        <v>RN DE TAINARA DE CARVALHO BOTELHO (Jhon Peter)</v>
      </c>
      <c r="C80" s="11">
        <f>MAPA!D71</f>
        <v>25</v>
      </c>
      <c r="D80" s="11" t="str">
        <f>MAPA!E71</f>
        <v>LM</v>
      </c>
      <c r="E80" s="11" t="str">
        <f>MAPA!F71</f>
        <v>FL PREMATURO</v>
      </c>
      <c r="F80" s="20"/>
      <c r="G80" s="20"/>
    </row>
    <row r="81" spans="1:7" s="88" customFormat="1" ht="18" hidden="1" customHeight="1" x14ac:dyDescent="0.25">
      <c r="A81" s="120">
        <v>4205</v>
      </c>
      <c r="B81" s="23" t="str">
        <f>MAPA!B72</f>
        <v>RN ELISSANGELA MENDES</v>
      </c>
      <c r="C81" s="11">
        <f>MAPA!D72</f>
        <v>31</v>
      </c>
      <c r="D81" s="11" t="str">
        <f>MAPA!E72</f>
        <v>LM</v>
      </c>
      <c r="E81" s="11" t="str">
        <f>MAPA!F72</f>
        <v>FL 1º SEMESTRE</v>
      </c>
      <c r="F81" s="20"/>
      <c r="G81" s="20"/>
    </row>
    <row r="82" spans="1:7" s="88" customFormat="1" ht="18" hidden="1" customHeight="1" x14ac:dyDescent="0.25">
      <c r="A82" s="120">
        <v>4206</v>
      </c>
      <c r="B82" s="23" t="str">
        <f>MAPA!B73</f>
        <v>RN DE JENIFER VITÓRIA (Oliver)</v>
      </c>
      <c r="C82" s="11">
        <f>MAPA!D73</f>
        <v>16</v>
      </c>
      <c r="D82" s="11" t="str">
        <f>MAPA!E73</f>
        <v>LM</v>
      </c>
      <c r="E82" s="11" t="str">
        <f>MAPA!F73</f>
        <v>FL PREMATURO</v>
      </c>
      <c r="F82" s="20"/>
      <c r="G82" s="20"/>
    </row>
    <row r="83" spans="1:7" s="88" customFormat="1" ht="18" hidden="1" customHeight="1" x14ac:dyDescent="0.25">
      <c r="A83" s="120">
        <v>4207</v>
      </c>
      <c r="B83" s="23" t="str">
        <f>MAPA!B74</f>
        <v>RN GIOVANA MEDEIROS (Camila)</v>
      </c>
      <c r="C83" s="11">
        <f>MAPA!D74</f>
        <v>62</v>
      </c>
      <c r="D83" s="11" t="str">
        <f>MAPA!E74</f>
        <v>LM</v>
      </c>
      <c r="E83" s="11" t="str">
        <f>MAPA!F74</f>
        <v>FL 1º SEMESTRE</v>
      </c>
      <c r="F83" s="20"/>
      <c r="G83" s="20"/>
    </row>
    <row r="84" spans="1:7" s="88" customFormat="1" ht="18" hidden="1" customHeight="1" x14ac:dyDescent="0.25">
      <c r="A84" s="120">
        <v>4208</v>
      </c>
      <c r="B84" s="23">
        <f>MAPA!B75</f>
        <v>0</v>
      </c>
      <c r="C84" s="11">
        <f>MAPA!D75</f>
        <v>0</v>
      </c>
      <c r="D84" s="11">
        <f>MAPA!E75</f>
        <v>0</v>
      </c>
      <c r="E84" s="11">
        <f>MAPA!F75</f>
        <v>0</v>
      </c>
      <c r="F84" s="20"/>
      <c r="G84" s="20"/>
    </row>
    <row r="85" spans="1:7" s="88" customFormat="1" ht="18" hidden="1" customHeight="1" x14ac:dyDescent="0.25">
      <c r="A85" s="120">
        <v>4209</v>
      </c>
      <c r="B85" s="23">
        <f>MAPA!H76</f>
        <v>0</v>
      </c>
      <c r="C85" s="11" t="e">
        <f>MAPA!#REF!</f>
        <v>#REF!</v>
      </c>
      <c r="D85" s="11" t="e">
        <f>MAPA!#REF!</f>
        <v>#REF!</v>
      </c>
      <c r="E85" s="11" t="e">
        <f>MAPA!#REF!</f>
        <v>#REF!</v>
      </c>
      <c r="F85" s="20"/>
      <c r="G85" s="20"/>
    </row>
    <row r="86" spans="1:7" s="88" customFormat="1" ht="18" hidden="1" customHeight="1" x14ac:dyDescent="0.25">
      <c r="A86" s="120">
        <v>4210</v>
      </c>
      <c r="B86" s="23" t="str">
        <f>MAPA!B77</f>
        <v>RN DE DEZERRE DA ROSA AGUIRRE (Murilo)</v>
      </c>
      <c r="C86" s="11">
        <f>MAPA!D77</f>
        <v>50</v>
      </c>
      <c r="D86" s="11" t="str">
        <f>MAPA!E77</f>
        <v>LM</v>
      </c>
      <c r="E86" s="11" t="str">
        <f>MAPA!F77</f>
        <v>FL 1º SEMESTRE</v>
      </c>
      <c r="F86" s="20"/>
      <c r="G86" s="20"/>
    </row>
    <row r="87" spans="1:7" s="88" customFormat="1" ht="18" hidden="1" customHeight="1" x14ac:dyDescent="0.25">
      <c r="A87" s="120">
        <v>4211</v>
      </c>
      <c r="B87" s="23" t="str">
        <f>MAPA!B78</f>
        <v>RN DE MAIRA DANIELE</v>
      </c>
      <c r="C87" s="11">
        <f>MAPA!D78</f>
        <v>9</v>
      </c>
      <c r="D87" s="11" t="str">
        <f>MAPA!E78</f>
        <v>LM</v>
      </c>
      <c r="E87" s="11" t="str">
        <f>MAPA!F78</f>
        <v>FL 1° SEMESTRE</v>
      </c>
      <c r="F87" s="20"/>
      <c r="G87" s="20"/>
    </row>
    <row r="88" spans="1:7" s="88" customFormat="1" ht="18" hidden="1" customHeight="1" x14ac:dyDescent="0.25">
      <c r="A88" s="120">
        <v>4212</v>
      </c>
      <c r="B88" s="23">
        <f>MAPA!B79</f>
        <v>0</v>
      </c>
      <c r="C88" s="11">
        <f>MAPA!D79</f>
        <v>0</v>
      </c>
      <c r="D88" s="11">
        <f>MAPA!E79</f>
        <v>0</v>
      </c>
      <c r="E88" s="11">
        <f>MAPA!F79</f>
        <v>0</v>
      </c>
      <c r="F88" s="20"/>
      <c r="G88" s="20"/>
    </row>
    <row r="89" spans="1:7" s="88" customFormat="1" ht="18" hidden="1" customHeight="1" x14ac:dyDescent="0.25">
      <c r="A89" s="120">
        <v>4213</v>
      </c>
      <c r="B89" s="23">
        <f>MAPA!B80</f>
        <v>0</v>
      </c>
      <c r="C89" s="11">
        <f>MAPA!D80</f>
        <v>0</v>
      </c>
      <c r="D89" s="11">
        <f>MAPA!E80</f>
        <v>0</v>
      </c>
      <c r="E89" s="11">
        <f>MAPA!F80</f>
        <v>0</v>
      </c>
      <c r="F89" s="20"/>
      <c r="G89" s="20"/>
    </row>
    <row r="90" spans="1:7" s="88" customFormat="1" ht="18" hidden="1" customHeight="1" x14ac:dyDescent="0.25">
      <c r="A90" s="120">
        <v>4214</v>
      </c>
      <c r="B90" s="23" t="str">
        <f>MAPA!B81</f>
        <v>RN MILENA DA CRUZ PARANHOS (Felipe)</v>
      </c>
      <c r="C90" s="11">
        <f>MAPA!D81</f>
        <v>60</v>
      </c>
      <c r="D90" s="11" t="str">
        <f>MAPA!E81</f>
        <v>LM</v>
      </c>
      <c r="E90" s="11" t="str">
        <f>MAPA!F81</f>
        <v>FL HIDROLISADA</v>
      </c>
      <c r="F90" s="20"/>
      <c r="G90" s="20"/>
    </row>
    <row r="91" spans="1:7" s="88" customFormat="1" ht="18" hidden="1" customHeight="1" x14ac:dyDescent="0.25">
      <c r="A91" s="121">
        <v>4215</v>
      </c>
      <c r="B91" s="23">
        <f>MAPA!B82</f>
        <v>0</v>
      </c>
      <c r="C91" s="11">
        <f>MAPA!D82</f>
        <v>0</v>
      </c>
      <c r="D91" s="11">
        <f>MAPA!E82</f>
        <v>0</v>
      </c>
      <c r="E91" s="11">
        <f>MAPA!F82</f>
        <v>0</v>
      </c>
      <c r="F91" s="20"/>
      <c r="G91" s="20"/>
    </row>
    <row r="92" spans="1:7" s="88" customFormat="1" ht="18" hidden="1" customHeight="1" x14ac:dyDescent="0.25">
      <c r="A92" s="120">
        <v>4216</v>
      </c>
      <c r="B92" s="23">
        <f>MAPA!B83</f>
        <v>0</v>
      </c>
      <c r="C92" s="11">
        <f>MAPA!D83</f>
        <v>0</v>
      </c>
      <c r="D92" s="11">
        <f>MAPA!E83</f>
        <v>0</v>
      </c>
      <c r="E92" s="11">
        <f>MAPA!F83</f>
        <v>0</v>
      </c>
      <c r="F92" s="20"/>
      <c r="G92" s="20"/>
    </row>
    <row r="93" spans="1:7" s="88" customFormat="1" ht="18" hidden="1" customHeight="1" x14ac:dyDescent="0.25">
      <c r="A93" s="120">
        <v>4217</v>
      </c>
      <c r="B93" s="23">
        <f>MAPA!B84</f>
        <v>0</v>
      </c>
      <c r="C93" s="11">
        <f>MAPA!D85</f>
        <v>0</v>
      </c>
      <c r="D93" s="11">
        <f>MAPA!E85</f>
        <v>0</v>
      </c>
      <c r="E93" s="11">
        <f>MAPA!F85</f>
        <v>0</v>
      </c>
      <c r="F93" s="20"/>
      <c r="G93" s="20"/>
    </row>
    <row r="94" spans="1:7" s="88" customFormat="1" ht="18" hidden="1" customHeight="1" x14ac:dyDescent="0.25">
      <c r="A94" s="120">
        <v>4218</v>
      </c>
      <c r="B94" s="23">
        <f>MAPA!B85</f>
        <v>0</v>
      </c>
      <c r="C94" s="11">
        <f>MAPA!D86</f>
        <v>0</v>
      </c>
      <c r="D94" s="11">
        <f>MAPA!E85</f>
        <v>0</v>
      </c>
      <c r="E94" s="11">
        <f>MAPA!F85</f>
        <v>0</v>
      </c>
      <c r="F94" s="20"/>
      <c r="G94" s="20"/>
    </row>
    <row r="95" spans="1:7" s="88" customFormat="1" ht="18" hidden="1" customHeight="1" x14ac:dyDescent="0.25">
      <c r="A95" s="120">
        <v>4219</v>
      </c>
      <c r="B95" s="23">
        <f>MAPA!B86</f>
        <v>0</v>
      </c>
      <c r="C95" s="11">
        <f>MAPA!D86</f>
        <v>0</v>
      </c>
      <c r="D95" s="11">
        <f>MAPA!E86</f>
        <v>0</v>
      </c>
      <c r="E95" s="11">
        <f>MAPA!F86</f>
        <v>0</v>
      </c>
      <c r="F95" s="20"/>
      <c r="G95" s="20"/>
    </row>
    <row r="96" spans="1:7" s="88" customFormat="1" ht="18" hidden="1" customHeight="1" x14ac:dyDescent="0.25">
      <c r="A96" s="121">
        <v>4220</v>
      </c>
      <c r="B96" s="23">
        <f>MAPA!B88</f>
        <v>0</v>
      </c>
      <c r="C96" s="11">
        <f>MAPA!D88</f>
        <v>0</v>
      </c>
      <c r="D96" s="11">
        <f>MAPA!E88</f>
        <v>0</v>
      </c>
      <c r="E96" s="11">
        <f>MAPA!F88</f>
        <v>0</v>
      </c>
      <c r="F96" s="20"/>
      <c r="G96" s="20"/>
    </row>
    <row r="97" spans="1:7" s="88" customFormat="1" ht="18" hidden="1" customHeight="1" x14ac:dyDescent="0.25">
      <c r="A97" s="120">
        <v>4221</v>
      </c>
      <c r="B97" s="23" t="str">
        <f>MAPA!B89</f>
        <v>RN GABRIELA DIAS BERTODO (Gabriel)</v>
      </c>
      <c r="C97" s="11">
        <f>MAPA!D89</f>
        <v>40</v>
      </c>
      <c r="D97" s="11" t="str">
        <f>MAPA!E89</f>
        <v>LM</v>
      </c>
      <c r="E97" s="11" t="str">
        <f>MAPA!F89</f>
        <v>FL TRANSIÇÃO</v>
      </c>
      <c r="F97" s="20"/>
      <c r="G97" s="20"/>
    </row>
    <row r="98" spans="1:7" s="88" customFormat="1" ht="18" hidden="1" customHeight="1" x14ac:dyDescent="0.25">
      <c r="A98" s="120">
        <v>4222</v>
      </c>
      <c r="B98" s="23" t="str">
        <f>MAPA!B90</f>
        <v>RN DE CLAUDIA OLIVEIRA</v>
      </c>
      <c r="C98" s="11">
        <f>MAPA!D90</f>
        <v>43</v>
      </c>
      <c r="D98" s="11">
        <f>MAPA!E90</f>
        <v>0</v>
      </c>
      <c r="E98" s="11" t="str">
        <f>MAPA!F90</f>
        <v>FL 1º SEMESTRE</v>
      </c>
      <c r="F98" s="20"/>
      <c r="G98" s="20"/>
    </row>
    <row r="99" spans="1:7" s="88" customFormat="1" ht="18" hidden="1" customHeight="1" x14ac:dyDescent="0.25">
      <c r="A99" s="120">
        <v>4223</v>
      </c>
      <c r="B99" s="23">
        <f>MAPA!B91</f>
        <v>0</v>
      </c>
      <c r="C99" s="11">
        <f>MAPA!D91</f>
        <v>0</v>
      </c>
      <c r="D99" s="11">
        <f>MAPA!E91</f>
        <v>0</v>
      </c>
      <c r="E99" s="11">
        <f>MAPA!F91</f>
        <v>0</v>
      </c>
      <c r="F99" s="20"/>
      <c r="G99" s="20"/>
    </row>
    <row r="100" spans="1:7" s="88" customFormat="1" ht="18" hidden="1" customHeight="1" x14ac:dyDescent="0.25">
      <c r="A100" s="120">
        <v>4224</v>
      </c>
      <c r="B100" s="23">
        <f>MAPA!B92</f>
        <v>0</v>
      </c>
      <c r="C100" s="11">
        <f>MAPA!D92</f>
        <v>0</v>
      </c>
      <c r="D100" s="11">
        <f>MAPA!E92</f>
        <v>0</v>
      </c>
      <c r="E100" s="11">
        <f>MAPA!F92</f>
        <v>0</v>
      </c>
      <c r="F100" s="20"/>
      <c r="G100" s="20"/>
    </row>
    <row r="101" spans="1:7" s="88" customFormat="1" ht="18" hidden="1" customHeight="1" x14ac:dyDescent="0.25">
      <c r="A101" s="120">
        <v>4225</v>
      </c>
      <c r="B101" s="23" t="str">
        <f>MAPA!B93</f>
        <v>RN DE ANA PAULA ARAUJO</v>
      </c>
      <c r="C101" s="11">
        <f>MAPA!D93</f>
        <v>80</v>
      </c>
      <c r="D101" s="11" t="str">
        <f>MAPA!E93</f>
        <v>LM</v>
      </c>
      <c r="E101" s="11" t="str">
        <f>MAPA!F93</f>
        <v>FL 1º SEMESTRE</v>
      </c>
      <c r="F101" s="20"/>
      <c r="G101" s="20"/>
    </row>
    <row r="102" spans="1:7" s="88" customFormat="1" ht="18" hidden="1" customHeight="1" x14ac:dyDescent="0.25">
      <c r="A102" s="120">
        <v>4226</v>
      </c>
      <c r="B102" s="23" t="str">
        <f>MAPA!B94</f>
        <v>G1 KELLY SANTOS</v>
      </c>
      <c r="C102" s="11">
        <f>MAPA!D94</f>
        <v>20</v>
      </c>
      <c r="D102" s="11" t="str">
        <f>MAPA!E94</f>
        <v>LM</v>
      </c>
      <c r="E102" s="11" t="str">
        <f>MAPA!F94</f>
        <v>FL 1° SEMESTRE</v>
      </c>
      <c r="F102" s="20"/>
      <c r="G102" s="20"/>
    </row>
    <row r="103" spans="1:7" s="88" customFormat="1" ht="18" hidden="1" customHeight="1" x14ac:dyDescent="0.25">
      <c r="A103" s="120">
        <v>4227</v>
      </c>
      <c r="B103" s="23">
        <f>MAPA!B95</f>
        <v>0</v>
      </c>
      <c r="C103" s="11">
        <f>MAPA!D95</f>
        <v>0</v>
      </c>
      <c r="D103" s="11">
        <f>MAPA!E95</f>
        <v>0</v>
      </c>
      <c r="E103" s="11">
        <f>MAPA!F95</f>
        <v>0</v>
      </c>
      <c r="F103" s="20"/>
      <c r="G103" s="20"/>
    </row>
    <row r="104" spans="1:7" s="88" customFormat="1" ht="18" hidden="1" customHeight="1" x14ac:dyDescent="0.25">
      <c r="A104" s="120">
        <v>4228</v>
      </c>
      <c r="B104" s="23" t="str">
        <f>MAPA!B96</f>
        <v>RN VIRGINIA AGNES DA SILVA (Fernando)</v>
      </c>
      <c r="C104" s="11">
        <f>MAPA!D96</f>
        <v>100</v>
      </c>
      <c r="D104" s="11" t="str">
        <f>MAPA!E96</f>
        <v>LM</v>
      </c>
      <c r="E104" s="11" t="str">
        <f>MAPA!F96</f>
        <v>FL 1º SEMESTRE</v>
      </c>
      <c r="F104" s="20"/>
      <c r="G104" s="20"/>
    </row>
    <row r="105" spans="1:7" s="88" customFormat="1" ht="18" hidden="1" customHeight="1" x14ac:dyDescent="0.25">
      <c r="A105" s="120">
        <v>4229</v>
      </c>
      <c r="B105" s="23" t="str">
        <f>MAPA!B97</f>
        <v>RN SUELEM CAMPOS</v>
      </c>
      <c r="C105" s="11">
        <f>MAPA!D97</f>
        <v>55</v>
      </c>
      <c r="D105" s="11" t="str">
        <f>MAPA!E97</f>
        <v>LM</v>
      </c>
      <c r="E105" s="11" t="str">
        <f>MAPA!F97</f>
        <v>FL 1º SEMESTRE</v>
      </c>
      <c r="F105" s="20"/>
      <c r="G105" s="20"/>
    </row>
    <row r="106" spans="1:7" s="88" customFormat="1" ht="18" hidden="1" customHeight="1" x14ac:dyDescent="0.25">
      <c r="A106" s="120">
        <v>4230</v>
      </c>
      <c r="B106" s="23">
        <f>MAPA!B98</f>
        <v>0</v>
      </c>
      <c r="C106" s="11">
        <f>MAPA!D98</f>
        <v>0</v>
      </c>
      <c r="D106" s="11">
        <f>MAPA!E98</f>
        <v>0</v>
      </c>
      <c r="E106" s="11">
        <f>MAPA!F98</f>
        <v>0</v>
      </c>
      <c r="F106" s="20"/>
      <c r="G106" s="20"/>
    </row>
    <row r="107" spans="1:7" s="88" customFormat="1" ht="18" hidden="1" customHeight="1" x14ac:dyDescent="0.25">
      <c r="A107" s="120">
        <v>4241</v>
      </c>
      <c r="B107" s="22">
        <f>MAPA!B100</f>
        <v>0</v>
      </c>
      <c r="C107" s="11">
        <f>MAPA!D100</f>
        <v>0</v>
      </c>
      <c r="D107" s="11">
        <f>MAPA!E100</f>
        <v>0</v>
      </c>
      <c r="E107" s="11">
        <f>MAPA!F100</f>
        <v>0</v>
      </c>
      <c r="F107" s="20"/>
      <c r="G107" s="20"/>
    </row>
    <row r="108" spans="1:7" s="88" customFormat="1" ht="18" hidden="1" customHeight="1" x14ac:dyDescent="0.25">
      <c r="A108" s="120">
        <v>4242</v>
      </c>
      <c r="B108" s="22">
        <f>MAPA!B101</f>
        <v>0</v>
      </c>
      <c r="C108" s="11">
        <f>MAPA!D101</f>
        <v>0</v>
      </c>
      <c r="D108" s="11">
        <f>MAPA!E101</f>
        <v>0</v>
      </c>
      <c r="E108" s="11">
        <f>MAPA!F101</f>
        <v>0</v>
      </c>
      <c r="F108" s="20"/>
      <c r="G108" s="20"/>
    </row>
    <row r="109" spans="1:7" s="88" customFormat="1" ht="18" hidden="1" customHeight="1" x14ac:dyDescent="0.25">
      <c r="A109" s="120">
        <v>4243</v>
      </c>
      <c r="B109" s="22">
        <f>MAPA!B102</f>
        <v>0</v>
      </c>
      <c r="C109" s="11">
        <f>MAPA!D102</f>
        <v>0</v>
      </c>
      <c r="D109" s="11">
        <f>MAPA!E102</f>
        <v>0</v>
      </c>
      <c r="E109" s="11">
        <f>MAPA!F102</f>
        <v>0</v>
      </c>
      <c r="F109" s="20"/>
      <c r="G109" s="20"/>
    </row>
    <row r="110" spans="1:7" s="88" customFormat="1" ht="18" hidden="1" customHeight="1" x14ac:dyDescent="0.25">
      <c r="A110" s="120">
        <v>4244</v>
      </c>
      <c r="B110" s="22">
        <f>MAPA!B103</f>
        <v>0</v>
      </c>
      <c r="C110" s="11">
        <f>MAPA!D103</f>
        <v>0</v>
      </c>
      <c r="D110" s="11">
        <f>MAPA!E103</f>
        <v>0</v>
      </c>
      <c r="E110" s="11">
        <f>MAPA!F103</f>
        <v>0</v>
      </c>
      <c r="F110" s="20"/>
      <c r="G110" s="20"/>
    </row>
    <row r="111" spans="1:7" s="88" customFormat="1" ht="18" hidden="1" customHeight="1" x14ac:dyDescent="0.25">
      <c r="A111" s="119">
        <v>4245</v>
      </c>
      <c r="B111" s="22">
        <f>MAPA!B104</f>
        <v>0</v>
      </c>
      <c r="C111" s="11">
        <f>MAPA!D104</f>
        <v>0</v>
      </c>
      <c r="D111" s="11">
        <f>MAPA!E104</f>
        <v>0</v>
      </c>
      <c r="E111" s="11">
        <f>MAPA!F104</f>
        <v>0</v>
      </c>
      <c r="F111" s="20"/>
      <c r="G111" s="20"/>
    </row>
    <row r="112" spans="1:7" s="88" customFormat="1" ht="18" hidden="1" customHeight="1" x14ac:dyDescent="0.25">
      <c r="A112" s="122" t="s">
        <v>63</v>
      </c>
      <c r="B112" s="22" t="e">
        <f>MAPA!#REF!</f>
        <v>#REF!</v>
      </c>
      <c r="C112" s="11" t="e">
        <f>MAPA!#REF!</f>
        <v>#REF!</v>
      </c>
      <c r="D112" s="11" t="e">
        <f>MAPA!#REF!</f>
        <v>#REF!</v>
      </c>
      <c r="E112" s="11" t="e">
        <f>MAPA!#REF!</f>
        <v>#REF!</v>
      </c>
      <c r="F112" s="20"/>
      <c r="G112" s="20"/>
    </row>
    <row r="113" spans="1:7" s="88" customFormat="1" ht="18" hidden="1" customHeight="1" x14ac:dyDescent="0.25">
      <c r="A113" s="122" t="s">
        <v>64</v>
      </c>
      <c r="B113" s="22" t="e">
        <f>MAPA!#REF!</f>
        <v>#REF!</v>
      </c>
      <c r="C113" s="11" t="e">
        <f>MAPA!#REF!</f>
        <v>#REF!</v>
      </c>
      <c r="D113" s="11" t="e">
        <f>MAPA!#REF!</f>
        <v>#REF!</v>
      </c>
      <c r="E113" s="11" t="e">
        <f>MAPA!#REF!</f>
        <v>#REF!</v>
      </c>
      <c r="F113" s="20"/>
      <c r="G113" s="20"/>
    </row>
    <row r="114" spans="1:7" s="88" customFormat="1" ht="18" hidden="1" customHeight="1" x14ac:dyDescent="0.25">
      <c r="A114" s="122" t="s">
        <v>65</v>
      </c>
      <c r="B114" s="22" t="e">
        <f>MAPA!#REF!</f>
        <v>#REF!</v>
      </c>
      <c r="C114" s="11" t="e">
        <f>MAPA!#REF!</f>
        <v>#REF!</v>
      </c>
      <c r="D114" s="11" t="e">
        <f>MAPA!#REF!</f>
        <v>#REF!</v>
      </c>
      <c r="E114" s="11" t="e">
        <f>MAPA!#REF!</f>
        <v>#REF!</v>
      </c>
      <c r="F114" s="20"/>
      <c r="G114" s="20"/>
    </row>
    <row r="115" spans="1:7" s="88" customFormat="1" ht="18" hidden="1" customHeight="1" x14ac:dyDescent="0.25">
      <c r="A115" s="122" t="s">
        <v>66</v>
      </c>
      <c r="B115" s="22" t="e">
        <f>MAPA!#REF!</f>
        <v>#REF!</v>
      </c>
      <c r="C115" s="11" t="e">
        <f>MAPA!#REF!</f>
        <v>#REF!</v>
      </c>
      <c r="D115" s="11" t="e">
        <f>MAPA!#REF!</f>
        <v>#REF!</v>
      </c>
      <c r="E115" s="11" t="e">
        <f>MAPA!#REF!</f>
        <v>#REF!</v>
      </c>
      <c r="F115" s="20"/>
      <c r="G115" s="20"/>
    </row>
    <row r="116" spans="1:7" s="88" customFormat="1" ht="18" hidden="1" customHeight="1" x14ac:dyDescent="0.25">
      <c r="A116" s="122" t="s">
        <v>67</v>
      </c>
      <c r="B116" s="22" t="e">
        <f>MAPA!#REF!</f>
        <v>#REF!</v>
      </c>
      <c r="C116" s="11" t="e">
        <f>MAPA!#REF!</f>
        <v>#REF!</v>
      </c>
      <c r="D116" s="11" t="e">
        <f>MAPA!#REF!</f>
        <v>#REF!</v>
      </c>
      <c r="E116" s="11" t="e">
        <f>MAPA!#REF!</f>
        <v>#REF!</v>
      </c>
      <c r="F116" s="20"/>
      <c r="G116" s="20"/>
    </row>
    <row r="117" spans="1:7" s="88" customFormat="1" ht="18" hidden="1" customHeight="1" x14ac:dyDescent="0.25">
      <c r="A117" s="122" t="s">
        <v>68</v>
      </c>
      <c r="B117" s="22" t="e">
        <f>MAPA!#REF!</f>
        <v>#REF!</v>
      </c>
      <c r="C117" s="11" t="e">
        <f>MAPA!#REF!</f>
        <v>#REF!</v>
      </c>
      <c r="D117" s="11" t="e">
        <f>MAPA!#REF!</f>
        <v>#REF!</v>
      </c>
      <c r="E117" s="11" t="e">
        <f>MAPA!#REF!</f>
        <v>#REF!</v>
      </c>
      <c r="F117" s="20"/>
      <c r="G117" s="20"/>
    </row>
    <row r="118" spans="1:7" s="88" customFormat="1" ht="18" hidden="1" customHeight="1" x14ac:dyDescent="0.25">
      <c r="A118" s="122" t="s">
        <v>65</v>
      </c>
      <c r="B118" s="22" t="e">
        <f>MAPA!#REF!</f>
        <v>#REF!</v>
      </c>
      <c r="C118" s="11" t="e">
        <f>MAPA!#REF!</f>
        <v>#REF!</v>
      </c>
      <c r="D118" s="11" t="e">
        <f>MAPA!#REF!</f>
        <v>#REF!</v>
      </c>
      <c r="E118" s="11" t="e">
        <f>MAPA!#REF!</f>
        <v>#REF!</v>
      </c>
      <c r="F118" s="20"/>
      <c r="G118" s="20"/>
    </row>
    <row r="119" spans="1:7" s="88" customFormat="1" ht="18" hidden="1" customHeight="1" x14ac:dyDescent="0.25">
      <c r="A119" s="122" t="s">
        <v>66</v>
      </c>
      <c r="B119" s="22" t="e">
        <f>MAPA!#REF!</f>
        <v>#REF!</v>
      </c>
      <c r="C119" s="11" t="e">
        <f>MAPA!#REF!</f>
        <v>#REF!</v>
      </c>
      <c r="D119" s="11" t="e">
        <f>MAPA!#REF!</f>
        <v>#REF!</v>
      </c>
      <c r="E119" s="11" t="e">
        <f>MAPA!#REF!</f>
        <v>#REF!</v>
      </c>
      <c r="F119" s="20"/>
      <c r="G119" s="20"/>
    </row>
    <row r="120" spans="1:7" s="88" customFormat="1" ht="18" hidden="1" customHeight="1" x14ac:dyDescent="0.25">
      <c r="A120" s="122" t="s">
        <v>67</v>
      </c>
      <c r="B120" s="22">
        <f>MAPA!B109</f>
        <v>0</v>
      </c>
      <c r="C120" s="11">
        <f>MAPA!D109</f>
        <v>0</v>
      </c>
      <c r="D120" s="11">
        <f>MAPA!E109</f>
        <v>0</v>
      </c>
      <c r="E120" s="11">
        <f>MAPA!F109</f>
        <v>0</v>
      </c>
      <c r="F120" s="20"/>
      <c r="G120" s="20"/>
    </row>
    <row r="121" spans="1:7" s="88" customFormat="1" ht="18" hidden="1" customHeight="1" x14ac:dyDescent="0.25">
      <c r="A121" s="122" t="s">
        <v>68</v>
      </c>
      <c r="B121" s="22">
        <f>MAPA!B110</f>
        <v>0</v>
      </c>
      <c r="C121" s="11">
        <f>MAPA!D110</f>
        <v>0</v>
      </c>
      <c r="D121" s="11">
        <f>MAPA!E110</f>
        <v>0</v>
      </c>
      <c r="E121" s="11">
        <f>MAPA!F110</f>
        <v>0</v>
      </c>
      <c r="F121" s="20"/>
      <c r="G121" s="20"/>
    </row>
    <row r="122" spans="1:7" s="88" customFormat="1" ht="18" hidden="1" customHeight="1" x14ac:dyDescent="0.25">
      <c r="A122" s="122" t="s">
        <v>69</v>
      </c>
      <c r="B122" s="22">
        <f>MAPA!B112</f>
        <v>0</v>
      </c>
      <c r="C122" s="11">
        <f>MAPA!D112</f>
        <v>0</v>
      </c>
      <c r="D122" s="11">
        <f>MAPA!E112</f>
        <v>0</v>
      </c>
      <c r="E122" s="11">
        <f>MAPA!F112</f>
        <v>0</v>
      </c>
      <c r="F122" s="20"/>
      <c r="G122" s="20"/>
    </row>
    <row r="123" spans="1:7" s="88" customFormat="1" ht="18" hidden="1" customHeight="1" x14ac:dyDescent="0.25">
      <c r="A123" s="122" t="s">
        <v>70</v>
      </c>
      <c r="B123" s="22">
        <f>MAPA!B113</f>
        <v>0</v>
      </c>
      <c r="C123" s="11">
        <f>MAPA!D113</f>
        <v>0</v>
      </c>
      <c r="D123" s="11">
        <f>MAPA!E113</f>
        <v>0</v>
      </c>
      <c r="E123" s="11">
        <f>MAPA!F113</f>
        <v>0</v>
      </c>
      <c r="F123" s="20"/>
      <c r="G123" s="20"/>
    </row>
    <row r="124" spans="1:7" s="88" customFormat="1" ht="18" hidden="1" customHeight="1" x14ac:dyDescent="0.25">
      <c r="A124" s="122" t="s">
        <v>67</v>
      </c>
      <c r="B124" s="22">
        <f>MAPA!B115</f>
        <v>0</v>
      </c>
      <c r="C124" s="11">
        <f>MAPA!D115</f>
        <v>0</v>
      </c>
      <c r="D124" s="11">
        <f>MAPA!E115</f>
        <v>0</v>
      </c>
      <c r="E124" s="11">
        <f>MAPA!F115</f>
        <v>0</v>
      </c>
      <c r="F124" s="20"/>
      <c r="G124" s="20"/>
    </row>
    <row r="125" spans="1:7" s="88" customFormat="1" ht="18" hidden="1" customHeight="1" x14ac:dyDescent="0.25">
      <c r="A125" s="122" t="s">
        <v>68</v>
      </c>
      <c r="B125" s="22">
        <f>MAPA!B116</f>
        <v>0</v>
      </c>
      <c r="C125" s="11">
        <f>MAPA!D116</f>
        <v>0</v>
      </c>
      <c r="D125" s="11">
        <f>MAPA!E116</f>
        <v>0</v>
      </c>
      <c r="E125" s="11">
        <f>MAPA!F116</f>
        <v>0</v>
      </c>
      <c r="F125" s="20"/>
      <c r="G125" s="20"/>
    </row>
    <row r="126" spans="1:7" s="88" customFormat="1" ht="18" hidden="1" customHeight="1" x14ac:dyDescent="0.25">
      <c r="A126" s="122" t="s">
        <v>69</v>
      </c>
      <c r="B126" s="22">
        <f>MAPA!B118</f>
        <v>0</v>
      </c>
      <c r="C126" s="11">
        <f>MAPA!D118</f>
        <v>0</v>
      </c>
      <c r="D126" s="11">
        <f>MAPA!E118</f>
        <v>0</v>
      </c>
      <c r="E126" s="11">
        <f>MAPA!F118</f>
        <v>0</v>
      </c>
      <c r="F126" s="20"/>
      <c r="G126" s="20"/>
    </row>
    <row r="127" spans="1:7" s="88" customFormat="1" ht="18" hidden="1" customHeight="1" x14ac:dyDescent="0.25">
      <c r="A127" s="122" t="s">
        <v>70</v>
      </c>
      <c r="B127" s="22">
        <f>MAPA!B120</f>
        <v>0</v>
      </c>
      <c r="C127" s="11">
        <f>MAPA!D120</f>
        <v>0</v>
      </c>
      <c r="D127" s="11">
        <f>MAPA!E120</f>
        <v>0</v>
      </c>
      <c r="E127" s="11">
        <f>MAPA!F120</f>
        <v>0</v>
      </c>
      <c r="F127" s="20"/>
      <c r="G127" s="20"/>
    </row>
    <row r="128" spans="1:7" s="88" customFormat="1" ht="18" hidden="1" customHeight="1" x14ac:dyDescent="0.25">
      <c r="A128" s="122" t="s">
        <v>71</v>
      </c>
      <c r="B128" s="22">
        <f>MAPA!B121</f>
        <v>0</v>
      </c>
      <c r="C128" s="11">
        <f>MAPA!D121</f>
        <v>0</v>
      </c>
      <c r="D128" s="11">
        <f>MAPA!E121</f>
        <v>0</v>
      </c>
      <c r="E128" s="11">
        <f>MAPA!F121</f>
        <v>0</v>
      </c>
      <c r="F128" s="20"/>
      <c r="G128" s="20"/>
    </row>
    <row r="129" spans="1:7" s="88" customFormat="1" ht="18" hidden="1" customHeight="1" x14ac:dyDescent="0.25">
      <c r="A129" s="122" t="s">
        <v>72</v>
      </c>
      <c r="B129" s="22">
        <f>MAPA!B122</f>
        <v>0</v>
      </c>
      <c r="C129" s="11">
        <f>MAPA!D122</f>
        <v>0</v>
      </c>
      <c r="D129" s="11">
        <f>MAPA!E122</f>
        <v>0</v>
      </c>
      <c r="E129" s="11">
        <f>MAPA!F122</f>
        <v>0</v>
      </c>
      <c r="F129" s="20"/>
      <c r="G129" s="20"/>
    </row>
    <row r="130" spans="1:7" s="88" customFormat="1" ht="18" hidden="1" customHeight="1" x14ac:dyDescent="0.25">
      <c r="A130" s="122" t="s">
        <v>69</v>
      </c>
      <c r="B130" s="22">
        <f>MAPA!B124</f>
        <v>0</v>
      </c>
      <c r="C130" s="11">
        <f>MAPA!D124</f>
        <v>0</v>
      </c>
      <c r="D130" s="11">
        <f>MAPA!E124</f>
        <v>0</v>
      </c>
      <c r="E130" s="11">
        <f>MAPA!F124</f>
        <v>0</v>
      </c>
      <c r="F130" s="20"/>
      <c r="G130" s="20"/>
    </row>
    <row r="131" spans="1:7" s="88" customFormat="1" ht="18" hidden="1" customHeight="1" x14ac:dyDescent="0.25">
      <c r="A131" s="122" t="s">
        <v>70</v>
      </c>
      <c r="B131" s="22">
        <f>MAPA!B125</f>
        <v>0</v>
      </c>
      <c r="C131" s="11">
        <f>MAPA!D125</f>
        <v>0</v>
      </c>
      <c r="D131" s="11">
        <f>MAPA!E125</f>
        <v>0</v>
      </c>
      <c r="E131" s="11">
        <f>MAPA!F125</f>
        <v>0</v>
      </c>
      <c r="F131" s="20"/>
      <c r="G131" s="20"/>
    </row>
    <row r="132" spans="1:7" s="88" customFormat="1" ht="18" hidden="1" customHeight="1" x14ac:dyDescent="0.25">
      <c r="A132" s="122" t="s">
        <v>71</v>
      </c>
      <c r="B132" s="22">
        <f>MAPA!B127</f>
        <v>0</v>
      </c>
      <c r="C132" s="11">
        <f>MAPA!D127</f>
        <v>0</v>
      </c>
      <c r="D132" s="11">
        <f>MAPA!E127</f>
        <v>0</v>
      </c>
      <c r="E132" s="11">
        <f>MAPA!F127</f>
        <v>0</v>
      </c>
      <c r="F132" s="20"/>
      <c r="G132" s="20"/>
    </row>
    <row r="133" spans="1:7" s="88" customFormat="1" ht="18" hidden="1" customHeight="1" x14ac:dyDescent="0.25">
      <c r="A133" s="122" t="s">
        <v>72</v>
      </c>
      <c r="B133" s="22">
        <f>MAPA!B128</f>
        <v>0</v>
      </c>
      <c r="C133" s="11">
        <f>MAPA!D128</f>
        <v>0</v>
      </c>
      <c r="D133" s="11">
        <f>MAPA!E128</f>
        <v>0</v>
      </c>
      <c r="E133" s="11">
        <f>MAPA!F128</f>
        <v>0</v>
      </c>
      <c r="F133" s="20"/>
      <c r="G133" s="20"/>
    </row>
    <row r="134" spans="1:7" s="88" customFormat="1" ht="18" hidden="1" customHeight="1" x14ac:dyDescent="0.25">
      <c r="A134" s="122" t="s">
        <v>73</v>
      </c>
      <c r="B134" s="22" t="str">
        <f>MAPA!B130</f>
        <v>RN DE LILIANE DOS SANTOS</v>
      </c>
      <c r="C134" s="11">
        <f>MAPA!D130</f>
        <v>40</v>
      </c>
      <c r="D134" s="11">
        <f>MAPA!E130</f>
        <v>0</v>
      </c>
      <c r="E134" s="11" t="str">
        <f>MAPA!F130</f>
        <v>FL 1º SEMESTRE</v>
      </c>
      <c r="F134" s="20"/>
      <c r="G134" s="20"/>
    </row>
    <row r="135" spans="1:7" s="88" customFormat="1" ht="18" hidden="1" customHeight="1" x14ac:dyDescent="0.25">
      <c r="A135" s="122" t="s">
        <v>74</v>
      </c>
      <c r="B135" s="22" t="str">
        <f>MAPA!B131</f>
        <v>RN DE ASHELEY DA SILVA</v>
      </c>
      <c r="C135" s="11">
        <f>MAPA!D131</f>
        <v>40</v>
      </c>
      <c r="D135" s="11">
        <f>MAPA!E131</f>
        <v>0</v>
      </c>
      <c r="E135" s="11" t="str">
        <f>MAPA!F131</f>
        <v>FL 1º SEMESTRE</v>
      </c>
      <c r="F135" s="20"/>
      <c r="G135" s="20"/>
    </row>
    <row r="136" spans="1:7" s="88" customFormat="1" ht="18" hidden="1" customHeight="1" x14ac:dyDescent="0.25">
      <c r="A136" s="122" t="s">
        <v>71</v>
      </c>
      <c r="B136" s="22">
        <f>MAPA!B133</f>
        <v>0</v>
      </c>
      <c r="C136" s="11">
        <f>MAPA!D133</f>
        <v>0</v>
      </c>
      <c r="D136" s="11">
        <f>MAPA!E133</f>
        <v>0</v>
      </c>
      <c r="E136" s="11">
        <f>MAPA!F133</f>
        <v>0</v>
      </c>
      <c r="F136" s="20"/>
      <c r="G136" s="20"/>
    </row>
    <row r="137" spans="1:7" s="88" customFormat="1" ht="18" hidden="1" customHeight="1" x14ac:dyDescent="0.25">
      <c r="A137" s="122" t="s">
        <v>72</v>
      </c>
      <c r="B137" s="22">
        <f>MAPA!B134</f>
        <v>0</v>
      </c>
      <c r="C137" s="11">
        <f>MAPA!D134</f>
        <v>0</v>
      </c>
      <c r="D137" s="11">
        <f>MAPA!E134</f>
        <v>0</v>
      </c>
      <c r="E137" s="11">
        <f>MAPA!F134</f>
        <v>0</v>
      </c>
      <c r="F137" s="20"/>
      <c r="G137" s="20"/>
    </row>
    <row r="138" spans="1:7" s="88" customFormat="1" ht="18" hidden="1" customHeight="1" x14ac:dyDescent="0.25">
      <c r="A138" s="122" t="s">
        <v>73</v>
      </c>
      <c r="B138" s="22" t="str">
        <f>MAPA!B141</f>
        <v>MURILO RAFAEL</v>
      </c>
      <c r="C138" s="11">
        <f>MAPA!D141</f>
        <v>45</v>
      </c>
      <c r="D138" s="11" t="str">
        <f>MAPA!E141</f>
        <v>LM</v>
      </c>
      <c r="E138" s="11" t="str">
        <f>MAPA!F141</f>
        <v>FL 1º SEMESTRE</v>
      </c>
      <c r="F138" s="20"/>
      <c r="G138" s="20"/>
    </row>
    <row r="139" spans="1:7" s="88" customFormat="1" ht="18" hidden="1" customHeight="1" x14ac:dyDescent="0.25">
      <c r="A139" s="122" t="s">
        <v>74</v>
      </c>
      <c r="B139" s="22" t="e">
        <f>MAPA!#REF!</f>
        <v>#REF!</v>
      </c>
      <c r="C139" s="11" t="e">
        <f>MAPA!#REF!</f>
        <v>#REF!</v>
      </c>
      <c r="D139" s="11" t="e">
        <f>MAPA!#REF!</f>
        <v>#REF!</v>
      </c>
      <c r="E139" s="11" t="e">
        <f>MAPA!#REF!</f>
        <v>#REF!</v>
      </c>
      <c r="F139" s="20"/>
      <c r="G139" s="20"/>
    </row>
    <row r="140" spans="1:7" s="88" customFormat="1" ht="18" hidden="1" customHeight="1" x14ac:dyDescent="0.25">
      <c r="A140" s="122" t="s">
        <v>75</v>
      </c>
      <c r="B140" s="22" t="e">
        <f>MAPA!#REF!</f>
        <v>#REF!</v>
      </c>
      <c r="C140" s="11" t="e">
        <f>MAPA!#REF!</f>
        <v>#REF!</v>
      </c>
      <c r="D140" s="11" t="e">
        <f>MAPA!#REF!</f>
        <v>#REF!</v>
      </c>
      <c r="E140" s="11" t="e">
        <f>MAPA!#REF!</f>
        <v>#REF!</v>
      </c>
      <c r="F140" s="20"/>
      <c r="G140" s="20"/>
    </row>
    <row r="141" spans="1:7" s="88" customFormat="1" ht="18" hidden="1" customHeight="1" x14ac:dyDescent="0.25">
      <c r="A141" s="122" t="s">
        <v>76</v>
      </c>
      <c r="B141" s="22" t="e">
        <f>MAPA!#REF!</f>
        <v>#REF!</v>
      </c>
      <c r="C141" s="11" t="e">
        <f>MAPA!#REF!</f>
        <v>#REF!</v>
      </c>
      <c r="D141" s="11" t="e">
        <f>MAPA!#REF!</f>
        <v>#REF!</v>
      </c>
      <c r="E141" s="11" t="e">
        <f>MAPA!#REF!</f>
        <v>#REF!</v>
      </c>
      <c r="F141" s="20"/>
      <c r="G141" s="20"/>
    </row>
    <row r="142" spans="1:7" s="88" customFormat="1" ht="18" hidden="1" customHeight="1" x14ac:dyDescent="0.25">
      <c r="A142" s="122" t="s">
        <v>73</v>
      </c>
      <c r="B142" s="22">
        <f>MAPA!B142</f>
        <v>0</v>
      </c>
      <c r="C142" s="11">
        <f>MAPA!D142</f>
        <v>0</v>
      </c>
      <c r="D142" s="11">
        <f>MAPA!E142</f>
        <v>0</v>
      </c>
      <c r="E142" s="11">
        <f>MAPA!F142</f>
        <v>0</v>
      </c>
      <c r="F142" s="20"/>
      <c r="G142" s="20"/>
    </row>
    <row r="143" spans="1:7" s="88" customFormat="1" ht="18" hidden="1" customHeight="1" x14ac:dyDescent="0.25">
      <c r="A143" s="122" t="s">
        <v>74</v>
      </c>
      <c r="B143" s="22">
        <f>MAPA!B143</f>
        <v>0</v>
      </c>
      <c r="C143" s="11">
        <f>MAPA!D143</f>
        <v>0</v>
      </c>
      <c r="D143" s="11">
        <f>MAPA!E143</f>
        <v>0</v>
      </c>
      <c r="E143" s="11">
        <f>MAPA!F143</f>
        <v>0</v>
      </c>
      <c r="F143" s="20"/>
      <c r="G143" s="20"/>
    </row>
    <row r="144" spans="1:7" s="88" customFormat="1" ht="18" hidden="1" customHeight="1" x14ac:dyDescent="0.25">
      <c r="A144" s="122" t="s">
        <v>75</v>
      </c>
      <c r="B144" s="22">
        <f>MAPA!B146</f>
        <v>0</v>
      </c>
      <c r="C144" s="11">
        <f>MAPA!D146</f>
        <v>0</v>
      </c>
      <c r="D144" s="11">
        <f>MAPA!E146</f>
        <v>0</v>
      </c>
      <c r="E144" s="11">
        <f>MAPA!F146</f>
        <v>0</v>
      </c>
      <c r="F144" s="20"/>
      <c r="G144" s="20"/>
    </row>
    <row r="145" spans="1:7" s="88" customFormat="1" ht="18" hidden="1" customHeight="1" x14ac:dyDescent="0.25">
      <c r="A145" s="122" t="s">
        <v>76</v>
      </c>
      <c r="B145" s="22" t="e">
        <f>MAPA!#REF!</f>
        <v>#REF!</v>
      </c>
      <c r="C145" s="11" t="e">
        <f>MAPA!#REF!</f>
        <v>#REF!</v>
      </c>
      <c r="D145" s="11" t="e">
        <f>MAPA!#REF!</f>
        <v>#REF!</v>
      </c>
      <c r="E145" s="11" t="e">
        <f>MAPA!#REF!</f>
        <v>#REF!</v>
      </c>
      <c r="F145" s="20"/>
      <c r="G145" s="20"/>
    </row>
    <row r="146" spans="1:7" s="88" customFormat="1" ht="18" hidden="1" customHeight="1" x14ac:dyDescent="0.25">
      <c r="A146" s="122" t="s">
        <v>77</v>
      </c>
      <c r="B146" s="22" t="e">
        <f>MAPA!#REF!</f>
        <v>#REF!</v>
      </c>
      <c r="C146" s="11" t="e">
        <f>MAPA!#REF!</f>
        <v>#REF!</v>
      </c>
      <c r="D146" s="11" t="e">
        <f>MAPA!#REF!</f>
        <v>#REF!</v>
      </c>
      <c r="E146" s="11" t="e">
        <f>MAPA!#REF!</f>
        <v>#REF!</v>
      </c>
      <c r="F146" s="20"/>
      <c r="G146" s="20"/>
    </row>
    <row r="147" spans="1:7" s="88" customFormat="1" ht="18" hidden="1" customHeight="1" x14ac:dyDescent="0.25">
      <c r="A147" s="122" t="s">
        <v>78</v>
      </c>
      <c r="B147" s="22">
        <f>MAPA!B147</f>
        <v>0</v>
      </c>
      <c r="C147" s="11">
        <f>MAPA!D147</f>
        <v>0</v>
      </c>
      <c r="D147" s="11">
        <f>MAPA!E147</f>
        <v>0</v>
      </c>
      <c r="E147" s="11">
        <f>MAPA!F147</f>
        <v>0</v>
      </c>
      <c r="F147" s="20"/>
      <c r="G147" s="20"/>
    </row>
    <row r="148" spans="1:7" s="88" customFormat="1" ht="18" hidden="1" customHeight="1" x14ac:dyDescent="0.25">
      <c r="A148" s="122" t="s">
        <v>75</v>
      </c>
      <c r="B148" s="22">
        <f>MAPA!B150</f>
        <v>0</v>
      </c>
      <c r="C148" s="11">
        <f>MAPA!D150</f>
        <v>0</v>
      </c>
      <c r="D148" s="11">
        <f>MAPA!E150</f>
        <v>0</v>
      </c>
      <c r="E148" s="11">
        <f>MAPA!F150</f>
        <v>0</v>
      </c>
      <c r="F148" s="20"/>
      <c r="G148" s="20"/>
    </row>
    <row r="149" spans="1:7" s="88" customFormat="1" ht="18" hidden="1" customHeight="1" x14ac:dyDescent="0.25">
      <c r="A149" s="122" t="s">
        <v>76</v>
      </c>
      <c r="B149" s="22">
        <f>MAPA!B151</f>
        <v>0</v>
      </c>
      <c r="C149" s="11">
        <f>MAPA!D151</f>
        <v>0</v>
      </c>
      <c r="D149" s="11">
        <f>MAPA!E151</f>
        <v>0</v>
      </c>
      <c r="E149" s="11">
        <f>MAPA!F151</f>
        <v>0</v>
      </c>
      <c r="F149" s="20"/>
      <c r="G149" s="20"/>
    </row>
    <row r="150" spans="1:7" s="88" customFormat="1" ht="18" hidden="1" customHeight="1" x14ac:dyDescent="0.25">
      <c r="A150" s="122" t="s">
        <v>77</v>
      </c>
      <c r="B150" s="22">
        <f>MAPA!B152</f>
        <v>0</v>
      </c>
      <c r="C150" s="11">
        <f>MAPA!D152</f>
        <v>0</v>
      </c>
      <c r="D150" s="11">
        <f>MAPA!E152</f>
        <v>0</v>
      </c>
      <c r="E150" s="11">
        <f>MAPA!F152</f>
        <v>0</v>
      </c>
      <c r="F150" s="20"/>
      <c r="G150" s="20"/>
    </row>
    <row r="151" spans="1:7" s="88" customFormat="1" ht="18" hidden="1" customHeight="1" x14ac:dyDescent="0.25">
      <c r="A151" s="122" t="s">
        <v>78</v>
      </c>
      <c r="B151" s="22">
        <f>MAPA!B153</f>
        <v>0</v>
      </c>
      <c r="C151" s="11">
        <f>MAPA!D153</f>
        <v>0</v>
      </c>
      <c r="D151" s="11">
        <f>MAPA!E153</f>
        <v>0</v>
      </c>
      <c r="E151" s="11">
        <f>MAPA!F153</f>
        <v>0</v>
      </c>
      <c r="F151" s="20"/>
      <c r="G151" s="20"/>
    </row>
    <row r="152" spans="1:7" s="88" customFormat="1" ht="18" hidden="1" customHeight="1" x14ac:dyDescent="0.25">
      <c r="A152" s="122" t="s">
        <v>79</v>
      </c>
      <c r="B152" s="22">
        <f>MAPA!B154</f>
        <v>0</v>
      </c>
      <c r="C152" s="11">
        <f>MAPA!D154</f>
        <v>0</v>
      </c>
      <c r="D152" s="11">
        <f>MAPA!E154</f>
        <v>0</v>
      </c>
      <c r="E152" s="11">
        <f>MAPA!F154</f>
        <v>0</v>
      </c>
      <c r="F152" s="20"/>
      <c r="G152" s="20"/>
    </row>
    <row r="153" spans="1:7" s="88" customFormat="1" ht="18" hidden="1" customHeight="1" x14ac:dyDescent="0.25">
      <c r="A153" s="122" t="s">
        <v>80</v>
      </c>
      <c r="B153" s="22" t="str">
        <f>MAPA!B155</f>
        <v>CLAUDIA OLIVEIRA</v>
      </c>
      <c r="C153" s="11">
        <f>MAPA!D155</f>
        <v>15</v>
      </c>
      <c r="D153" s="11">
        <f>MAPA!E155</f>
        <v>0</v>
      </c>
      <c r="E153" s="11" t="str">
        <f>MAPA!F155</f>
        <v xml:space="preserve">FL 1º SEMESTRE </v>
      </c>
      <c r="F153" s="20"/>
      <c r="G153" s="20"/>
    </row>
    <row r="154" spans="1:7" s="88" customFormat="1" ht="18" hidden="1" customHeight="1" x14ac:dyDescent="0.25">
      <c r="A154" s="122" t="s">
        <v>77</v>
      </c>
      <c r="B154" s="22" t="e">
        <f>MAPA!#REF!</f>
        <v>#REF!</v>
      </c>
      <c r="C154" s="11" t="e">
        <f>MAPA!#REF!</f>
        <v>#REF!</v>
      </c>
      <c r="D154" s="11" t="e">
        <f>MAPA!#REF!</f>
        <v>#REF!</v>
      </c>
      <c r="E154" s="11" t="e">
        <f>MAPA!#REF!</f>
        <v>#REF!</v>
      </c>
      <c r="F154" s="20"/>
      <c r="G154" s="20"/>
    </row>
    <row r="155" spans="1:7" s="88" customFormat="1" ht="18" hidden="1" customHeight="1" x14ac:dyDescent="0.25">
      <c r="A155" s="122" t="s">
        <v>78</v>
      </c>
      <c r="B155" s="22" t="e">
        <f>MAPA!#REF!</f>
        <v>#REF!</v>
      </c>
      <c r="C155" s="11" t="e">
        <f>MAPA!#REF!</f>
        <v>#REF!</v>
      </c>
      <c r="D155" s="11" t="e">
        <f>MAPA!#REF!</f>
        <v>#REF!</v>
      </c>
      <c r="E155" s="11" t="e">
        <f>MAPA!#REF!</f>
        <v>#REF!</v>
      </c>
      <c r="F155" s="20"/>
      <c r="G155" s="20"/>
    </row>
    <row r="156" spans="1:7" s="88" customFormat="1" ht="18" hidden="1" customHeight="1" x14ac:dyDescent="0.25">
      <c r="A156" s="122" t="s">
        <v>79</v>
      </c>
      <c r="B156" s="22" t="e">
        <f>MAPA!#REF!</f>
        <v>#REF!</v>
      </c>
      <c r="C156" s="11" t="e">
        <f>MAPA!#REF!</f>
        <v>#REF!</v>
      </c>
      <c r="D156" s="11" t="e">
        <f>MAPA!#REF!</f>
        <v>#REF!</v>
      </c>
      <c r="E156" s="11" t="e">
        <f>MAPA!#REF!</f>
        <v>#REF!</v>
      </c>
      <c r="F156" s="20"/>
      <c r="G156" s="20"/>
    </row>
    <row r="157" spans="1:7" s="88" customFormat="1" ht="18" hidden="1" customHeight="1" x14ac:dyDescent="0.25">
      <c r="A157" s="122" t="s">
        <v>80</v>
      </c>
      <c r="B157" s="22" t="e">
        <f>MAPA!#REF!</f>
        <v>#REF!</v>
      </c>
      <c r="C157" s="11" t="e">
        <f>MAPA!#REF!</f>
        <v>#REF!</v>
      </c>
      <c r="D157" s="11" t="e">
        <f>MAPA!#REF!</f>
        <v>#REF!</v>
      </c>
      <c r="E157" s="11" t="e">
        <f>MAPA!#REF!</f>
        <v>#REF!</v>
      </c>
      <c r="F157" s="20"/>
      <c r="G157" s="20"/>
    </row>
    <row r="158" spans="1:7" s="88" customFormat="1" ht="18" hidden="1" customHeight="1" x14ac:dyDescent="0.25">
      <c r="A158" s="122" t="s">
        <v>81</v>
      </c>
      <c r="B158" s="22" t="e">
        <f>MAPA!#REF!</f>
        <v>#REF!</v>
      </c>
      <c r="C158" s="11" t="e">
        <f>MAPA!#REF!</f>
        <v>#REF!</v>
      </c>
      <c r="D158" s="11" t="e">
        <f>MAPA!#REF!</f>
        <v>#REF!</v>
      </c>
      <c r="E158" s="11" t="e">
        <f>MAPA!#REF!</f>
        <v>#REF!</v>
      </c>
      <c r="F158" s="20"/>
      <c r="G158" s="20"/>
    </row>
    <row r="159" spans="1:7" s="88" customFormat="1" ht="18" hidden="1" customHeight="1" x14ac:dyDescent="0.25">
      <c r="A159" s="122" t="s">
        <v>82</v>
      </c>
      <c r="B159" s="22" t="e">
        <f>MAPA!#REF!</f>
        <v>#REF!</v>
      </c>
      <c r="C159" s="11" t="e">
        <f>MAPA!#REF!</f>
        <v>#REF!</v>
      </c>
      <c r="D159" s="11" t="e">
        <f>MAPA!#REF!</f>
        <v>#REF!</v>
      </c>
      <c r="E159" s="11" t="e">
        <f>MAPA!#REF!</f>
        <v>#REF!</v>
      </c>
      <c r="F159" s="20"/>
      <c r="G159" s="20"/>
    </row>
    <row r="160" spans="1:7" s="88" customFormat="1" ht="18" hidden="1" customHeight="1" x14ac:dyDescent="0.25">
      <c r="A160" s="122" t="s">
        <v>79</v>
      </c>
      <c r="B160" s="22" t="e">
        <f>MAPA!#REF!</f>
        <v>#REF!</v>
      </c>
      <c r="C160" s="11" t="e">
        <f>MAPA!#REF!</f>
        <v>#REF!</v>
      </c>
      <c r="D160" s="11" t="e">
        <f>MAPA!#REF!</f>
        <v>#REF!</v>
      </c>
      <c r="E160" s="11" t="e">
        <f>MAPA!#REF!</f>
        <v>#REF!</v>
      </c>
      <c r="F160" s="20"/>
      <c r="G160" s="20"/>
    </row>
    <row r="161" spans="1:7" s="88" customFormat="1" ht="18" hidden="1" customHeight="1" x14ac:dyDescent="0.25">
      <c r="A161" s="122" t="s">
        <v>80</v>
      </c>
      <c r="B161" s="22" t="e">
        <f>MAPA!#REF!</f>
        <v>#REF!</v>
      </c>
      <c r="C161" s="11" t="e">
        <f>MAPA!#REF!</f>
        <v>#REF!</v>
      </c>
      <c r="D161" s="11" t="e">
        <f>MAPA!#REF!</f>
        <v>#REF!</v>
      </c>
      <c r="E161" s="11" t="e">
        <f>MAPA!#REF!</f>
        <v>#REF!</v>
      </c>
      <c r="F161" s="20"/>
      <c r="G161" s="20"/>
    </row>
    <row r="162" spans="1:7" s="88" customFormat="1" ht="18" hidden="1" customHeight="1" x14ac:dyDescent="0.25">
      <c r="A162" s="122" t="s">
        <v>81</v>
      </c>
      <c r="B162" s="22" t="e">
        <f>MAPA!#REF!</f>
        <v>#REF!</v>
      </c>
      <c r="C162" s="11" t="e">
        <f>MAPA!#REF!</f>
        <v>#REF!</v>
      </c>
      <c r="D162" s="11" t="e">
        <f>MAPA!#REF!</f>
        <v>#REF!</v>
      </c>
      <c r="E162" s="11" t="e">
        <f>MAPA!#REF!</f>
        <v>#REF!</v>
      </c>
      <c r="F162" s="20"/>
      <c r="G162" s="20"/>
    </row>
    <row r="163" spans="1:7" s="88" customFormat="1" ht="18" hidden="1" customHeight="1" x14ac:dyDescent="0.25">
      <c r="A163" s="122" t="s">
        <v>82</v>
      </c>
      <c r="B163" s="22" t="e">
        <f>MAPA!#REF!</f>
        <v>#REF!</v>
      </c>
      <c r="C163" s="11" t="e">
        <f>MAPA!#REF!</f>
        <v>#REF!</v>
      </c>
      <c r="D163" s="11" t="e">
        <f>MAPA!#REF!</f>
        <v>#REF!</v>
      </c>
      <c r="E163" s="11" t="e">
        <f>MAPA!#REF!</f>
        <v>#REF!</v>
      </c>
      <c r="F163" s="20"/>
      <c r="G163" s="20"/>
    </row>
    <row r="164" spans="1:7" s="88" customFormat="1" ht="18" hidden="1" customHeight="1" x14ac:dyDescent="0.25">
      <c r="A164" s="122" t="s">
        <v>83</v>
      </c>
      <c r="B164" s="22" t="e">
        <f>MAPA!#REF!</f>
        <v>#REF!</v>
      </c>
      <c r="C164" s="11" t="e">
        <f>MAPA!#REF!</f>
        <v>#REF!</v>
      </c>
      <c r="D164" s="11" t="e">
        <f>MAPA!#REF!</f>
        <v>#REF!</v>
      </c>
      <c r="E164" s="11" t="e">
        <f>MAPA!#REF!</f>
        <v>#REF!</v>
      </c>
      <c r="F164" s="20"/>
      <c r="G164" s="20"/>
    </row>
    <row r="165" spans="1:7" s="88" customFormat="1" ht="18" hidden="1" customHeight="1" x14ac:dyDescent="0.25">
      <c r="A165" s="122" t="s">
        <v>84</v>
      </c>
      <c r="B165" s="22" t="e">
        <f>MAPA!#REF!</f>
        <v>#REF!</v>
      </c>
      <c r="C165" s="11" t="e">
        <f>MAPA!#REF!</f>
        <v>#REF!</v>
      </c>
      <c r="D165" s="11" t="e">
        <f>MAPA!#REF!</f>
        <v>#REF!</v>
      </c>
      <c r="E165" s="11" t="e">
        <f>MAPA!#REF!</f>
        <v>#REF!</v>
      </c>
      <c r="F165" s="20"/>
      <c r="G165" s="20"/>
    </row>
    <row r="166" spans="1:7" s="88" customFormat="1" ht="18" hidden="1" customHeight="1" x14ac:dyDescent="0.25">
      <c r="A166" s="122" t="s">
        <v>81</v>
      </c>
      <c r="B166" s="22" t="e">
        <f>MAPA!#REF!</f>
        <v>#REF!</v>
      </c>
      <c r="C166" s="11" t="e">
        <f>MAPA!#REF!</f>
        <v>#REF!</v>
      </c>
      <c r="D166" s="11" t="e">
        <f>MAPA!#REF!</f>
        <v>#REF!</v>
      </c>
      <c r="E166" s="11" t="e">
        <f>MAPA!#REF!</f>
        <v>#REF!</v>
      </c>
      <c r="F166" s="20"/>
      <c r="G166" s="20"/>
    </row>
    <row r="167" spans="1:7" s="88" customFormat="1" ht="18" hidden="1" customHeight="1" x14ac:dyDescent="0.25">
      <c r="A167" s="122" t="s">
        <v>82</v>
      </c>
      <c r="B167" s="22" t="e">
        <f>MAPA!#REF!</f>
        <v>#REF!</v>
      </c>
      <c r="C167" s="11" t="e">
        <f>MAPA!#REF!</f>
        <v>#REF!</v>
      </c>
      <c r="D167" s="11" t="e">
        <f>MAPA!#REF!</f>
        <v>#REF!</v>
      </c>
      <c r="E167" s="11" t="e">
        <f>MAPA!#REF!</f>
        <v>#REF!</v>
      </c>
      <c r="F167" s="20"/>
      <c r="G167" s="20"/>
    </row>
    <row r="168" spans="1:7" s="88" customFormat="1" ht="18" hidden="1" customHeight="1" x14ac:dyDescent="0.25">
      <c r="A168" s="122" t="s">
        <v>83</v>
      </c>
      <c r="B168" s="22" t="e">
        <f>MAPA!#REF!</f>
        <v>#REF!</v>
      </c>
      <c r="C168" s="11" t="e">
        <f>MAPA!#REF!</f>
        <v>#REF!</v>
      </c>
      <c r="D168" s="11" t="e">
        <f>MAPA!#REF!</f>
        <v>#REF!</v>
      </c>
      <c r="E168" s="11" t="e">
        <f>MAPA!#REF!</f>
        <v>#REF!</v>
      </c>
      <c r="F168" s="20"/>
      <c r="G168" s="20"/>
    </row>
    <row r="169" spans="1:7" s="88" customFormat="1" ht="18" hidden="1" customHeight="1" x14ac:dyDescent="0.25">
      <c r="A169" s="122" t="s">
        <v>84</v>
      </c>
      <c r="B169" s="22" t="e">
        <f>MAPA!#REF!</f>
        <v>#REF!</v>
      </c>
      <c r="C169" s="11" t="e">
        <f>MAPA!#REF!</f>
        <v>#REF!</v>
      </c>
      <c r="D169" s="11" t="e">
        <f>MAPA!#REF!</f>
        <v>#REF!</v>
      </c>
      <c r="E169" s="11" t="e">
        <f>MAPA!#REF!</f>
        <v>#REF!</v>
      </c>
      <c r="F169" s="20"/>
      <c r="G169" s="20"/>
    </row>
    <row r="170" spans="1:7" s="88" customFormat="1" ht="18" hidden="1" customHeight="1" x14ac:dyDescent="0.25">
      <c r="A170" s="122" t="s">
        <v>85</v>
      </c>
      <c r="B170" s="22" t="e">
        <f>MAPA!#REF!</f>
        <v>#REF!</v>
      </c>
      <c r="C170" s="11" t="e">
        <f>MAPA!#REF!</f>
        <v>#REF!</v>
      </c>
      <c r="D170" s="11" t="e">
        <f>MAPA!#REF!</f>
        <v>#REF!</v>
      </c>
      <c r="E170" s="11" t="e">
        <f>MAPA!#REF!</f>
        <v>#REF!</v>
      </c>
      <c r="F170" s="20"/>
      <c r="G170" s="20"/>
    </row>
    <row r="171" spans="1:7" s="88" customFormat="1" ht="18" hidden="1" customHeight="1" x14ac:dyDescent="0.25">
      <c r="A171" s="122" t="s">
        <v>86</v>
      </c>
      <c r="B171" s="22" t="e">
        <f>MAPA!#REF!</f>
        <v>#REF!</v>
      </c>
      <c r="C171" s="11" t="e">
        <f>MAPA!#REF!</f>
        <v>#REF!</v>
      </c>
      <c r="D171" s="11" t="e">
        <f>MAPA!#REF!</f>
        <v>#REF!</v>
      </c>
      <c r="E171" s="11" t="e">
        <f>MAPA!#REF!</f>
        <v>#REF!</v>
      </c>
      <c r="F171" s="20"/>
      <c r="G171" s="20"/>
    </row>
    <row r="172" spans="1:7" s="88" customFormat="1" ht="18" hidden="1" customHeight="1" x14ac:dyDescent="0.25">
      <c r="A172" s="122" t="s">
        <v>83</v>
      </c>
      <c r="B172" s="22" t="e">
        <f>MAPA!#REF!</f>
        <v>#REF!</v>
      </c>
      <c r="C172" s="11" t="e">
        <f>MAPA!#REF!</f>
        <v>#REF!</v>
      </c>
      <c r="D172" s="11" t="e">
        <f>MAPA!#REF!</f>
        <v>#REF!</v>
      </c>
      <c r="E172" s="11" t="e">
        <f>MAPA!#REF!</f>
        <v>#REF!</v>
      </c>
      <c r="F172" s="20"/>
      <c r="G172" s="20"/>
    </row>
    <row r="173" spans="1:7" s="88" customFormat="1" ht="18" hidden="1" customHeight="1" x14ac:dyDescent="0.25">
      <c r="A173" s="122" t="s">
        <v>84</v>
      </c>
      <c r="B173" s="22" t="e">
        <f>MAPA!#REF!</f>
        <v>#REF!</v>
      </c>
      <c r="C173" s="11" t="e">
        <f>MAPA!#REF!</f>
        <v>#REF!</v>
      </c>
      <c r="D173" s="11" t="e">
        <f>MAPA!#REF!</f>
        <v>#REF!</v>
      </c>
      <c r="E173" s="11" t="e">
        <f>MAPA!#REF!</f>
        <v>#REF!</v>
      </c>
      <c r="F173" s="20"/>
      <c r="G173" s="20"/>
    </row>
    <row r="174" spans="1:7" s="88" customFormat="1" ht="18" hidden="1" customHeight="1" x14ac:dyDescent="0.25">
      <c r="A174" s="122" t="s">
        <v>85</v>
      </c>
      <c r="B174" s="22" t="e">
        <f>MAPA!#REF!</f>
        <v>#REF!</v>
      </c>
      <c r="C174" s="11" t="e">
        <f>MAPA!#REF!</f>
        <v>#REF!</v>
      </c>
      <c r="D174" s="11" t="e">
        <f>MAPA!#REF!</f>
        <v>#REF!</v>
      </c>
      <c r="E174" s="11" t="e">
        <f>MAPA!#REF!</f>
        <v>#REF!</v>
      </c>
      <c r="F174" s="20"/>
      <c r="G174" s="20"/>
    </row>
    <row r="175" spans="1:7" s="88" customFormat="1" ht="18" hidden="1" customHeight="1" x14ac:dyDescent="0.25">
      <c r="A175" s="122" t="s">
        <v>86</v>
      </c>
      <c r="B175" s="22" t="e">
        <f>MAPA!#REF!</f>
        <v>#REF!</v>
      </c>
      <c r="C175" s="11" t="e">
        <f>MAPA!#REF!</f>
        <v>#REF!</v>
      </c>
      <c r="D175" s="11" t="e">
        <f>MAPA!#REF!</f>
        <v>#REF!</v>
      </c>
      <c r="E175" s="11" t="e">
        <f>MAPA!#REF!</f>
        <v>#REF!</v>
      </c>
      <c r="F175" s="20"/>
      <c r="G175" s="20"/>
    </row>
    <row r="176" spans="1:7" s="88" customFormat="1" ht="18" hidden="1" customHeight="1" x14ac:dyDescent="0.25">
      <c r="A176" s="122" t="s">
        <v>87</v>
      </c>
      <c r="B176" s="22">
        <f>MAPA!B156</f>
        <v>0</v>
      </c>
      <c r="C176" s="11">
        <f>MAPA!D156</f>
        <v>0</v>
      </c>
      <c r="D176" s="11">
        <f>MAPA!E156</f>
        <v>0</v>
      </c>
      <c r="E176" s="11">
        <f>MAPA!F156</f>
        <v>0</v>
      </c>
      <c r="F176" s="20"/>
      <c r="G176" s="20"/>
    </row>
    <row r="177" spans="1:7" s="88" customFormat="1" ht="18" hidden="1" customHeight="1" x14ac:dyDescent="0.25">
      <c r="A177" s="122" t="s">
        <v>88</v>
      </c>
      <c r="B177" s="22">
        <f>MAPA!B157</f>
        <v>0</v>
      </c>
      <c r="C177" s="11">
        <f>MAPA!D157</f>
        <v>0</v>
      </c>
      <c r="D177" s="11">
        <f>MAPA!E157</f>
        <v>0</v>
      </c>
      <c r="E177" s="11">
        <f>MAPA!F157</f>
        <v>0</v>
      </c>
      <c r="F177" s="20"/>
      <c r="G177" s="20"/>
    </row>
    <row r="178" spans="1:7" s="88" customFormat="1" ht="18" hidden="1" customHeight="1" x14ac:dyDescent="0.25">
      <c r="A178" s="122" t="s">
        <v>85</v>
      </c>
      <c r="B178" s="22">
        <f>MAPA!B158</f>
        <v>0</v>
      </c>
      <c r="C178" s="11">
        <f>MAPA!D158</f>
        <v>0</v>
      </c>
      <c r="D178" s="11">
        <f>MAPA!E158</f>
        <v>0</v>
      </c>
      <c r="E178" s="11">
        <f>MAPA!F158</f>
        <v>0</v>
      </c>
      <c r="F178" s="20"/>
      <c r="G178" s="20"/>
    </row>
    <row r="179" spans="1:7" s="88" customFormat="1" ht="18" hidden="1" customHeight="1" x14ac:dyDescent="0.25">
      <c r="A179" s="122" t="s">
        <v>86</v>
      </c>
      <c r="B179" s="22">
        <f>MAPA!B159</f>
        <v>0</v>
      </c>
      <c r="C179" s="11">
        <f>MAPA!D159</f>
        <v>0</v>
      </c>
      <c r="D179" s="11">
        <f>MAPA!E159</f>
        <v>0</v>
      </c>
      <c r="E179" s="11">
        <f>MAPA!F159</f>
        <v>0</v>
      </c>
      <c r="F179" s="20"/>
      <c r="G179" s="20"/>
    </row>
    <row r="180" spans="1:7" s="88" customFormat="1" ht="18" hidden="1" customHeight="1" x14ac:dyDescent="0.25">
      <c r="A180" s="122" t="s">
        <v>87</v>
      </c>
      <c r="B180" s="22">
        <f>MAPA!B160</f>
        <v>0</v>
      </c>
      <c r="C180" s="11">
        <f>MAPA!D160</f>
        <v>0</v>
      </c>
      <c r="D180" s="11">
        <f>MAPA!E160</f>
        <v>0</v>
      </c>
      <c r="E180" s="11">
        <f>MAPA!F160</f>
        <v>0</v>
      </c>
      <c r="F180" s="20"/>
      <c r="G180" s="20"/>
    </row>
    <row r="181" spans="1:7" s="88" customFormat="1" ht="18" hidden="1" customHeight="1" x14ac:dyDescent="0.25">
      <c r="A181" s="122" t="s">
        <v>88</v>
      </c>
      <c r="B181" s="22">
        <f>MAPA!B161</f>
        <v>0</v>
      </c>
      <c r="C181" s="11">
        <f>MAPA!D161</f>
        <v>0</v>
      </c>
      <c r="D181" s="11">
        <f>MAPA!E161</f>
        <v>0</v>
      </c>
      <c r="E181" s="11">
        <f>MAPA!F161</f>
        <v>0</v>
      </c>
      <c r="F181" s="20"/>
      <c r="G181" s="20"/>
    </row>
    <row r="182" spans="1:7" s="88" customFormat="1" ht="18" hidden="1" customHeight="1" x14ac:dyDescent="0.25">
      <c r="A182" s="122" t="s">
        <v>89</v>
      </c>
      <c r="B182" s="22">
        <f>MAPA!B162</f>
        <v>0</v>
      </c>
      <c r="C182" s="11">
        <f>MAPA!D162</f>
        <v>0</v>
      </c>
      <c r="D182" s="11">
        <f>MAPA!E162</f>
        <v>0</v>
      </c>
      <c r="E182" s="11">
        <f>MAPA!F162</f>
        <v>0</v>
      </c>
      <c r="F182" s="20"/>
      <c r="G182" s="20"/>
    </row>
    <row r="183" spans="1:7" s="88" customFormat="1" ht="18" hidden="1" customHeight="1" x14ac:dyDescent="0.25">
      <c r="A183" s="122" t="s">
        <v>90</v>
      </c>
      <c r="B183" s="22">
        <f>MAPA!B163</f>
        <v>0</v>
      </c>
      <c r="C183" s="11">
        <f>MAPA!D163</f>
        <v>0</v>
      </c>
      <c r="D183" s="11">
        <f>MAPA!E163</f>
        <v>0</v>
      </c>
      <c r="E183" s="11">
        <f>MAPA!F163</f>
        <v>0</v>
      </c>
      <c r="F183" s="20"/>
      <c r="G183" s="20"/>
    </row>
    <row r="184" spans="1:7" s="88" customFormat="1" ht="18" hidden="1" customHeight="1" x14ac:dyDescent="0.25">
      <c r="A184" s="122" t="s">
        <v>87</v>
      </c>
      <c r="B184" s="22">
        <f>MAPA!B164</f>
        <v>0</v>
      </c>
      <c r="C184" s="11">
        <f>MAPA!D164</f>
        <v>0</v>
      </c>
      <c r="D184" s="11">
        <f>MAPA!E164</f>
        <v>0</v>
      </c>
      <c r="E184" s="11">
        <f>MAPA!F164</f>
        <v>0</v>
      </c>
      <c r="F184" s="20"/>
      <c r="G184" s="20"/>
    </row>
    <row r="185" spans="1:7" s="88" customFormat="1" ht="18" hidden="1" customHeight="1" x14ac:dyDescent="0.25">
      <c r="A185" s="122" t="s">
        <v>88</v>
      </c>
      <c r="B185" s="22">
        <f>MAPA!B165</f>
        <v>0</v>
      </c>
      <c r="C185" s="11">
        <f>MAPA!D165</f>
        <v>0</v>
      </c>
      <c r="D185" s="11">
        <f>MAPA!E165</f>
        <v>0</v>
      </c>
      <c r="E185" s="11">
        <f>MAPA!F165</f>
        <v>0</v>
      </c>
      <c r="F185" s="20"/>
      <c r="G185" s="20"/>
    </row>
    <row r="186" spans="1:7" s="88" customFormat="1" ht="18" hidden="1" customHeight="1" x14ac:dyDescent="0.25">
      <c r="A186" s="122" t="s">
        <v>89</v>
      </c>
      <c r="B186" s="22">
        <f>MAPA!B166</f>
        <v>0</v>
      </c>
      <c r="C186" s="11">
        <f>MAPA!D166</f>
        <v>0</v>
      </c>
      <c r="D186" s="11">
        <f>MAPA!E166</f>
        <v>0</v>
      </c>
      <c r="E186" s="11">
        <f>MAPA!F166</f>
        <v>0</v>
      </c>
      <c r="F186" s="20"/>
      <c r="G186" s="20"/>
    </row>
    <row r="187" spans="1:7" s="88" customFormat="1" ht="18" hidden="1" customHeight="1" x14ac:dyDescent="0.25">
      <c r="A187" s="122" t="s">
        <v>90</v>
      </c>
      <c r="B187" s="22">
        <f>MAPA!B167</f>
        <v>0</v>
      </c>
      <c r="C187" s="11">
        <f>MAPA!D167</f>
        <v>0</v>
      </c>
      <c r="D187" s="11">
        <f>MAPA!E167</f>
        <v>0</v>
      </c>
      <c r="E187" s="11">
        <f>MAPA!F167</f>
        <v>0</v>
      </c>
      <c r="F187" s="20"/>
      <c r="G187" s="20"/>
    </row>
    <row r="188" spans="1:7" s="88" customFormat="1" ht="18" hidden="1" customHeight="1" x14ac:dyDescent="0.25">
      <c r="A188" s="122" t="s">
        <v>91</v>
      </c>
      <c r="B188" s="22">
        <f>MAPA!B168</f>
        <v>0</v>
      </c>
      <c r="C188" s="11">
        <f>MAPA!D168</f>
        <v>0</v>
      </c>
      <c r="D188" s="11">
        <f>MAPA!E168</f>
        <v>0</v>
      </c>
      <c r="E188" s="11">
        <f>MAPA!F168</f>
        <v>0</v>
      </c>
      <c r="F188" s="20"/>
      <c r="G188" s="20"/>
    </row>
    <row r="189" spans="1:7" s="88" customFormat="1" ht="18" hidden="1" customHeight="1" x14ac:dyDescent="0.25">
      <c r="A189" s="122" t="s">
        <v>92</v>
      </c>
      <c r="B189" s="22">
        <f>MAPA!B169</f>
        <v>0</v>
      </c>
      <c r="C189" s="11">
        <f>MAPA!D169</f>
        <v>0</v>
      </c>
      <c r="D189" s="11">
        <f>MAPA!E169</f>
        <v>0</v>
      </c>
      <c r="E189" s="11">
        <f>MAPA!F169</f>
        <v>0</v>
      </c>
      <c r="F189" s="20"/>
      <c r="G189" s="20"/>
    </row>
    <row r="190" spans="1:7" s="88" customFormat="1" ht="18" hidden="1" customHeight="1" x14ac:dyDescent="0.25">
      <c r="A190" s="122" t="s">
        <v>89</v>
      </c>
      <c r="B190" s="22">
        <f>MAPA!B170</f>
        <v>0</v>
      </c>
      <c r="C190" s="11">
        <f>MAPA!D170</f>
        <v>0</v>
      </c>
      <c r="D190" s="11">
        <f>MAPA!E170</f>
        <v>0</v>
      </c>
      <c r="E190" s="11">
        <f>MAPA!F170</f>
        <v>0</v>
      </c>
      <c r="F190" s="20"/>
      <c r="G190" s="20"/>
    </row>
    <row r="191" spans="1:7" s="88" customFormat="1" ht="18" hidden="1" customHeight="1" x14ac:dyDescent="0.25">
      <c r="A191" s="122" t="s">
        <v>90</v>
      </c>
      <c r="B191" s="22">
        <f>MAPA!B171</f>
        <v>0</v>
      </c>
      <c r="C191" s="11">
        <f>MAPA!D171</f>
        <v>0</v>
      </c>
      <c r="D191" s="11">
        <f>MAPA!E171</f>
        <v>0</v>
      </c>
      <c r="E191" s="11">
        <f>MAPA!F171</f>
        <v>0</v>
      </c>
      <c r="F191" s="20"/>
      <c r="G191" s="20"/>
    </row>
    <row r="192" spans="1:7" s="88" customFormat="1" ht="18" hidden="1" customHeight="1" x14ac:dyDescent="0.25">
      <c r="A192" s="122" t="s">
        <v>91</v>
      </c>
      <c r="B192" s="22">
        <f>MAPA!B172</f>
        <v>0</v>
      </c>
      <c r="C192" s="11">
        <f>MAPA!D172</f>
        <v>0</v>
      </c>
      <c r="D192" s="11">
        <f>MAPA!E172</f>
        <v>0</v>
      </c>
      <c r="E192" s="11">
        <f>MAPA!F172</f>
        <v>0</v>
      </c>
      <c r="F192" s="20"/>
      <c r="G192" s="20"/>
    </row>
    <row r="193" spans="1:7" s="88" customFormat="1" ht="18" hidden="1" customHeight="1" x14ac:dyDescent="0.25">
      <c r="A193" s="122" t="s">
        <v>92</v>
      </c>
      <c r="B193" s="22">
        <f>MAPA!B173</f>
        <v>0</v>
      </c>
      <c r="C193" s="11">
        <f>MAPA!D173</f>
        <v>0</v>
      </c>
      <c r="D193" s="11">
        <f>MAPA!E173</f>
        <v>0</v>
      </c>
      <c r="E193" s="11">
        <f>MAPA!F173</f>
        <v>0</v>
      </c>
      <c r="F193" s="20"/>
      <c r="G193" s="20"/>
    </row>
    <row r="194" spans="1:7" s="88" customFormat="1" ht="18" hidden="1" customHeight="1" x14ac:dyDescent="0.25">
      <c r="A194" s="122" t="s">
        <v>93</v>
      </c>
      <c r="B194" s="22">
        <f>MAPA!B174</f>
        <v>0</v>
      </c>
      <c r="C194" s="11">
        <f>MAPA!D174</f>
        <v>0</v>
      </c>
      <c r="D194" s="11">
        <f>MAPA!E174</f>
        <v>0</v>
      </c>
      <c r="E194" s="11">
        <f>MAPA!F174</f>
        <v>0</v>
      </c>
      <c r="F194" s="20"/>
      <c r="G194" s="20"/>
    </row>
    <row r="195" spans="1:7" s="88" customFormat="1" ht="18" hidden="1" customHeight="1" x14ac:dyDescent="0.25">
      <c r="A195" s="122" t="s">
        <v>94</v>
      </c>
      <c r="B195" s="22">
        <f>MAPA!B175</f>
        <v>0</v>
      </c>
      <c r="C195" s="11">
        <f>MAPA!D175</f>
        <v>0</v>
      </c>
      <c r="D195" s="11">
        <f>MAPA!E175</f>
        <v>0</v>
      </c>
      <c r="E195" s="11">
        <f>MAPA!F175</f>
        <v>0</v>
      </c>
      <c r="F195" s="20"/>
      <c r="G195" s="20"/>
    </row>
    <row r="196" spans="1:7" s="88" customFormat="1" ht="18" hidden="1" customHeight="1" x14ac:dyDescent="0.25">
      <c r="A196" s="122" t="s">
        <v>91</v>
      </c>
      <c r="B196" s="22">
        <f>MAPA!B176</f>
        <v>0</v>
      </c>
      <c r="C196" s="11">
        <f>MAPA!D176</f>
        <v>0</v>
      </c>
      <c r="D196" s="11">
        <f>MAPA!E176</f>
        <v>0</v>
      </c>
      <c r="E196" s="11">
        <f>MAPA!F176</f>
        <v>0</v>
      </c>
      <c r="F196" s="20"/>
      <c r="G196" s="20"/>
    </row>
    <row r="197" spans="1:7" s="88" customFormat="1" ht="18" hidden="1" customHeight="1" x14ac:dyDescent="0.25">
      <c r="A197" s="122" t="s">
        <v>92</v>
      </c>
      <c r="B197" s="22">
        <f>MAPA!B177</f>
        <v>0</v>
      </c>
      <c r="C197" s="11">
        <f>MAPA!D177</f>
        <v>0</v>
      </c>
      <c r="D197" s="11">
        <f>MAPA!E177</f>
        <v>0</v>
      </c>
      <c r="E197" s="11">
        <f>MAPA!F177</f>
        <v>0</v>
      </c>
      <c r="F197" s="20"/>
      <c r="G197" s="20"/>
    </row>
    <row r="198" spans="1:7" s="88" customFormat="1" ht="18" hidden="1" customHeight="1" x14ac:dyDescent="0.25">
      <c r="A198" s="122" t="s">
        <v>93</v>
      </c>
      <c r="B198" s="22">
        <f>MAPA!B178</f>
        <v>0</v>
      </c>
      <c r="C198" s="11">
        <f>MAPA!D178</f>
        <v>0</v>
      </c>
      <c r="D198" s="11">
        <f>MAPA!E178</f>
        <v>0</v>
      </c>
      <c r="E198" s="11">
        <f>MAPA!F178</f>
        <v>0</v>
      </c>
      <c r="F198" s="20"/>
      <c r="G198" s="20"/>
    </row>
    <row r="199" spans="1:7" s="88" customFormat="1" ht="18" hidden="1" customHeight="1" x14ac:dyDescent="0.25">
      <c r="A199" s="122" t="s">
        <v>94</v>
      </c>
      <c r="B199" s="22">
        <f>MAPA!B179</f>
        <v>0</v>
      </c>
      <c r="C199" s="11">
        <f>MAPA!D179</f>
        <v>0</v>
      </c>
      <c r="D199" s="11">
        <f>MAPA!E179</f>
        <v>0</v>
      </c>
      <c r="E199" s="11">
        <f>MAPA!F179</f>
        <v>0</v>
      </c>
      <c r="F199" s="20"/>
      <c r="G199" s="20"/>
    </row>
    <row r="200" spans="1:7" s="88" customFormat="1" ht="18" hidden="1" customHeight="1" x14ac:dyDescent="0.25">
      <c r="A200" s="122" t="s">
        <v>95</v>
      </c>
      <c r="B200" s="22">
        <f>MAPA!B180</f>
        <v>0</v>
      </c>
      <c r="C200" s="11">
        <f>MAPA!D180</f>
        <v>0</v>
      </c>
      <c r="D200" s="11">
        <f>MAPA!E180</f>
        <v>0</v>
      </c>
      <c r="E200" s="11">
        <f>MAPA!F180</f>
        <v>0</v>
      </c>
      <c r="F200" s="20"/>
      <c r="G200" s="20"/>
    </row>
    <row r="201" spans="1:7" s="88" customFormat="1" ht="18" hidden="1" customHeight="1" x14ac:dyDescent="0.25">
      <c r="A201" s="122" t="s">
        <v>96</v>
      </c>
      <c r="B201" s="22">
        <f>MAPA!B181</f>
        <v>0</v>
      </c>
      <c r="C201" s="11">
        <f>MAPA!D181</f>
        <v>0</v>
      </c>
      <c r="D201" s="11">
        <f>MAPA!E181</f>
        <v>0</v>
      </c>
      <c r="E201" s="11">
        <f>MAPA!F181</f>
        <v>0</v>
      </c>
      <c r="F201" s="20"/>
      <c r="G201" s="20"/>
    </row>
    <row r="202" spans="1:7" s="88" customFormat="1" ht="18" hidden="1" customHeight="1" x14ac:dyDescent="0.25">
      <c r="A202" s="122" t="s">
        <v>93</v>
      </c>
      <c r="B202" s="22">
        <f>MAPA!B182</f>
        <v>0</v>
      </c>
      <c r="C202" s="11">
        <f>MAPA!D182</f>
        <v>0</v>
      </c>
      <c r="D202" s="11">
        <f>MAPA!E182</f>
        <v>0</v>
      </c>
      <c r="E202" s="11">
        <f>MAPA!F182</f>
        <v>0</v>
      </c>
      <c r="F202" s="20"/>
      <c r="G202" s="20"/>
    </row>
    <row r="203" spans="1:7" s="88" customFormat="1" ht="18" hidden="1" customHeight="1" x14ac:dyDescent="0.25">
      <c r="A203" s="122" t="s">
        <v>94</v>
      </c>
      <c r="B203" s="22">
        <f>MAPA!B183</f>
        <v>0</v>
      </c>
      <c r="C203" s="11">
        <f>MAPA!D183</f>
        <v>0</v>
      </c>
      <c r="D203" s="11">
        <f>MAPA!E183</f>
        <v>0</v>
      </c>
      <c r="E203" s="11">
        <f>MAPA!F183</f>
        <v>0</v>
      </c>
      <c r="F203" s="20"/>
      <c r="G203" s="20"/>
    </row>
    <row r="204" spans="1:7" s="88" customFormat="1" ht="18" hidden="1" customHeight="1" x14ac:dyDescent="0.25">
      <c r="A204" s="122" t="s">
        <v>95</v>
      </c>
      <c r="B204" s="22">
        <f>MAPA!B184</f>
        <v>0</v>
      </c>
      <c r="C204" s="11">
        <f>MAPA!D184</f>
        <v>0</v>
      </c>
      <c r="D204" s="11">
        <f>MAPA!E184</f>
        <v>0</v>
      </c>
      <c r="E204" s="11">
        <f>MAPA!F184</f>
        <v>0</v>
      </c>
      <c r="F204" s="20"/>
      <c r="G204" s="20"/>
    </row>
    <row r="205" spans="1:7" s="88" customFormat="1" ht="18" hidden="1" customHeight="1" x14ac:dyDescent="0.25">
      <c r="A205" s="122" t="s">
        <v>96</v>
      </c>
      <c r="B205" s="22">
        <f>MAPA!B185</f>
        <v>0</v>
      </c>
      <c r="C205" s="11">
        <f>MAPA!D185</f>
        <v>0</v>
      </c>
      <c r="D205" s="11">
        <f>MAPA!E185</f>
        <v>0</v>
      </c>
      <c r="E205" s="11">
        <f>MAPA!F185</f>
        <v>0</v>
      </c>
      <c r="F205" s="20"/>
      <c r="G205" s="20"/>
    </row>
    <row r="206" spans="1:7" s="88" customFormat="1" ht="18" hidden="1" customHeight="1" x14ac:dyDescent="0.25">
      <c r="A206" s="122" t="s">
        <v>97</v>
      </c>
      <c r="B206" s="22">
        <f>MAPA!B186</f>
        <v>0</v>
      </c>
      <c r="C206" s="11">
        <f>MAPA!D186</f>
        <v>0</v>
      </c>
      <c r="D206" s="11">
        <f>MAPA!E186</f>
        <v>0</v>
      </c>
      <c r="E206" s="11">
        <f>MAPA!F186</f>
        <v>0</v>
      </c>
      <c r="F206" s="20"/>
      <c r="G206" s="20"/>
    </row>
    <row r="207" spans="1:7" s="88" customFormat="1" ht="18" hidden="1" customHeight="1" x14ac:dyDescent="0.25">
      <c r="A207" s="122" t="s">
        <v>98</v>
      </c>
      <c r="B207" s="22">
        <f>MAPA!B187</f>
        <v>0</v>
      </c>
      <c r="C207" s="11">
        <f>MAPA!D187</f>
        <v>0</v>
      </c>
      <c r="D207" s="11">
        <f>MAPA!E187</f>
        <v>0</v>
      </c>
      <c r="E207" s="11">
        <f>MAPA!F187</f>
        <v>0</v>
      </c>
      <c r="F207" s="20"/>
      <c r="G207" s="20"/>
    </row>
    <row r="208" spans="1:7" s="88" customFormat="1" ht="18" hidden="1" customHeight="1" x14ac:dyDescent="0.25">
      <c r="A208" s="122" t="s">
        <v>95</v>
      </c>
      <c r="B208" s="22">
        <f>MAPA!B188</f>
        <v>0</v>
      </c>
      <c r="C208" s="11">
        <f>MAPA!D188</f>
        <v>0</v>
      </c>
      <c r="D208" s="11">
        <f>MAPA!E188</f>
        <v>0</v>
      </c>
      <c r="E208" s="11">
        <f>MAPA!F188</f>
        <v>0</v>
      </c>
      <c r="F208" s="20"/>
      <c r="G208" s="20"/>
    </row>
    <row r="209" spans="1:7" s="88" customFormat="1" ht="18" hidden="1" customHeight="1" x14ac:dyDescent="0.25">
      <c r="A209" s="122" t="s">
        <v>96</v>
      </c>
      <c r="B209" s="22">
        <f>MAPA!B189</f>
        <v>0</v>
      </c>
      <c r="C209" s="11">
        <f>MAPA!D189</f>
        <v>0</v>
      </c>
      <c r="D209" s="11">
        <f>MAPA!E189</f>
        <v>0</v>
      </c>
      <c r="E209" s="11">
        <f>MAPA!F189</f>
        <v>0</v>
      </c>
      <c r="F209" s="20"/>
      <c r="G209" s="20"/>
    </row>
    <row r="210" spans="1:7" s="88" customFormat="1" ht="18" hidden="1" customHeight="1" x14ac:dyDescent="0.25">
      <c r="A210" s="122" t="s">
        <v>97</v>
      </c>
      <c r="B210" s="22">
        <f>MAPA!B190</f>
        <v>0</v>
      </c>
      <c r="C210" s="11">
        <f>MAPA!D190</f>
        <v>0</v>
      </c>
      <c r="D210" s="11">
        <f>MAPA!E190</f>
        <v>0</v>
      </c>
      <c r="E210" s="11">
        <f>MAPA!F190</f>
        <v>0</v>
      </c>
      <c r="F210" s="20"/>
      <c r="G210" s="20"/>
    </row>
    <row r="211" spans="1:7" s="88" customFormat="1" ht="18" hidden="1" customHeight="1" x14ac:dyDescent="0.25">
      <c r="A211" s="122" t="s">
        <v>98</v>
      </c>
      <c r="B211" s="22">
        <f>MAPA!B191</f>
        <v>0</v>
      </c>
      <c r="C211" s="11">
        <f>MAPA!D191</f>
        <v>0</v>
      </c>
      <c r="D211" s="11">
        <f>MAPA!E191</f>
        <v>0</v>
      </c>
      <c r="E211" s="11">
        <f>MAPA!F191</f>
        <v>0</v>
      </c>
      <c r="F211" s="20"/>
      <c r="G211" s="20"/>
    </row>
    <row r="212" spans="1:7" s="88" customFormat="1" ht="18" hidden="1" customHeight="1" x14ac:dyDescent="0.25">
      <c r="A212" s="122" t="s">
        <v>99</v>
      </c>
      <c r="B212" s="22">
        <f>MAPA!B192</f>
        <v>0</v>
      </c>
      <c r="C212" s="11">
        <f>MAPA!D192</f>
        <v>0</v>
      </c>
      <c r="D212" s="11">
        <f>MAPA!E192</f>
        <v>0</v>
      </c>
      <c r="E212" s="11">
        <f>MAPA!F192</f>
        <v>0</v>
      </c>
      <c r="F212" s="20"/>
      <c r="G212" s="20"/>
    </row>
    <row r="213" spans="1:7" s="88" customFormat="1" ht="18" hidden="1" customHeight="1" x14ac:dyDescent="0.25">
      <c r="A213" s="122" t="s">
        <v>100</v>
      </c>
      <c r="B213" s="22">
        <f>MAPA!B193</f>
        <v>0</v>
      </c>
      <c r="C213" s="11">
        <f>MAPA!D193</f>
        <v>0</v>
      </c>
      <c r="D213" s="11">
        <f>MAPA!E193</f>
        <v>0</v>
      </c>
      <c r="E213" s="11">
        <f>MAPA!F193</f>
        <v>0</v>
      </c>
      <c r="F213" s="20"/>
      <c r="G213" s="20"/>
    </row>
    <row r="214" spans="1:7" s="88" customFormat="1" ht="18" hidden="1" customHeight="1" x14ac:dyDescent="0.25">
      <c r="A214" s="122" t="s">
        <v>97</v>
      </c>
      <c r="B214" s="22">
        <f>MAPA!B194</f>
        <v>0</v>
      </c>
      <c r="C214" s="11">
        <f>MAPA!D194</f>
        <v>0</v>
      </c>
      <c r="D214" s="11">
        <f>MAPA!E194</f>
        <v>0</v>
      </c>
      <c r="E214" s="11">
        <f>MAPA!F194</f>
        <v>0</v>
      </c>
      <c r="F214" s="20"/>
      <c r="G214" s="20"/>
    </row>
    <row r="215" spans="1:7" s="88" customFormat="1" ht="18" hidden="1" customHeight="1" x14ac:dyDescent="0.25">
      <c r="A215" s="122" t="s">
        <v>98</v>
      </c>
      <c r="B215" s="22">
        <f>MAPA!B195</f>
        <v>0</v>
      </c>
      <c r="C215" s="11">
        <f>MAPA!D195</f>
        <v>0</v>
      </c>
      <c r="D215" s="11">
        <f>MAPA!E195</f>
        <v>0</v>
      </c>
      <c r="E215" s="11">
        <f>MAPA!F195</f>
        <v>0</v>
      </c>
      <c r="F215" s="20"/>
      <c r="G215" s="20"/>
    </row>
    <row r="216" spans="1:7" s="88" customFormat="1" ht="18" hidden="1" customHeight="1" x14ac:dyDescent="0.25">
      <c r="A216" s="122" t="s">
        <v>99</v>
      </c>
      <c r="B216" s="22">
        <f>MAPA!B196</f>
        <v>0</v>
      </c>
      <c r="C216" s="11">
        <f>MAPA!D196</f>
        <v>0</v>
      </c>
      <c r="D216" s="11">
        <f>MAPA!E196</f>
        <v>0</v>
      </c>
      <c r="E216" s="11">
        <f>MAPA!F196</f>
        <v>0</v>
      </c>
      <c r="F216" s="20"/>
      <c r="G216" s="20"/>
    </row>
    <row r="217" spans="1:7" s="88" customFormat="1" ht="18" hidden="1" customHeight="1" x14ac:dyDescent="0.25">
      <c r="A217" s="122" t="s">
        <v>100</v>
      </c>
      <c r="B217" s="22">
        <f>MAPA!B197</f>
        <v>0</v>
      </c>
      <c r="C217" s="11">
        <f>MAPA!D197</f>
        <v>0</v>
      </c>
      <c r="D217" s="11">
        <f>MAPA!E197</f>
        <v>0</v>
      </c>
      <c r="E217" s="11">
        <f>MAPA!F197</f>
        <v>0</v>
      </c>
      <c r="F217" s="20"/>
      <c r="G217" s="20"/>
    </row>
    <row r="218" spans="1:7" s="88" customFormat="1" ht="18" hidden="1" customHeight="1" x14ac:dyDescent="0.25">
      <c r="A218" s="122" t="s">
        <v>101</v>
      </c>
      <c r="B218" s="22">
        <f>MAPA!B198</f>
        <v>0</v>
      </c>
      <c r="C218" s="11">
        <f>MAPA!D198</f>
        <v>0</v>
      </c>
      <c r="D218" s="11">
        <f>MAPA!E198</f>
        <v>0</v>
      </c>
      <c r="E218" s="11">
        <f>MAPA!F198</f>
        <v>0</v>
      </c>
      <c r="F218" s="20"/>
      <c r="G218" s="20"/>
    </row>
    <row r="219" spans="1:7" s="88" customFormat="1" ht="18" hidden="1" customHeight="1" x14ac:dyDescent="0.25">
      <c r="A219" s="122" t="s">
        <v>102</v>
      </c>
      <c r="B219" s="22">
        <f>MAPA!B199</f>
        <v>0</v>
      </c>
      <c r="C219" s="11">
        <f>MAPA!D199</f>
        <v>0</v>
      </c>
      <c r="D219" s="11">
        <f>MAPA!E199</f>
        <v>0</v>
      </c>
      <c r="E219" s="11">
        <f>MAPA!F199</f>
        <v>0</v>
      </c>
      <c r="F219" s="20"/>
      <c r="G219" s="20"/>
    </row>
    <row r="220" spans="1:7" s="88" customFormat="1" ht="18" hidden="1" customHeight="1" x14ac:dyDescent="0.25">
      <c r="A220" s="122" t="s">
        <v>99</v>
      </c>
      <c r="B220" s="22">
        <f>MAPA!B200</f>
        <v>0</v>
      </c>
      <c r="C220" s="11">
        <f>MAPA!D200</f>
        <v>0</v>
      </c>
      <c r="D220" s="11">
        <f>MAPA!E200</f>
        <v>0</v>
      </c>
      <c r="E220" s="11">
        <f>MAPA!F200</f>
        <v>0</v>
      </c>
      <c r="F220" s="20"/>
      <c r="G220" s="20"/>
    </row>
    <row r="221" spans="1:7" s="88" customFormat="1" ht="18" hidden="1" customHeight="1" x14ac:dyDescent="0.25">
      <c r="A221" s="122" t="s">
        <v>100</v>
      </c>
      <c r="B221" s="22">
        <f>MAPA!B201</f>
        <v>0</v>
      </c>
      <c r="C221" s="11">
        <f>MAPA!D201</f>
        <v>0</v>
      </c>
      <c r="D221" s="11">
        <f>MAPA!E201</f>
        <v>0</v>
      </c>
      <c r="E221" s="11">
        <f>MAPA!F201</f>
        <v>0</v>
      </c>
      <c r="F221" s="20"/>
      <c r="G221" s="20"/>
    </row>
    <row r="222" spans="1:7" s="88" customFormat="1" ht="18" hidden="1" customHeight="1" x14ac:dyDescent="0.25">
      <c r="A222" s="122" t="s">
        <v>152</v>
      </c>
      <c r="B222" s="22">
        <f>MAPA!B202</f>
        <v>0</v>
      </c>
      <c r="C222" s="11">
        <f>MAPA!D202</f>
        <v>0</v>
      </c>
      <c r="D222" s="11">
        <f>MAPA!E202</f>
        <v>0</v>
      </c>
      <c r="E222" s="11">
        <f>MAPA!F202</f>
        <v>0</v>
      </c>
      <c r="F222" s="20"/>
      <c r="G222" s="20"/>
    </row>
    <row r="223" spans="1:7" s="88" customFormat="1" ht="18" hidden="1" customHeight="1" x14ac:dyDescent="0.25">
      <c r="A223" s="122" t="s">
        <v>153</v>
      </c>
      <c r="B223" s="22">
        <f>MAPA!B203</f>
        <v>0</v>
      </c>
      <c r="C223" s="11">
        <f>MAPA!D203</f>
        <v>0</v>
      </c>
      <c r="D223" s="11">
        <f>MAPA!E203</f>
        <v>0</v>
      </c>
      <c r="E223" s="11">
        <f>MAPA!F203</f>
        <v>0</v>
      </c>
      <c r="F223" s="20"/>
      <c r="G223" s="20"/>
    </row>
    <row r="224" spans="1:7" s="88" customFormat="1" ht="18" hidden="1" customHeight="1" x14ac:dyDescent="0.25">
      <c r="A224" s="122" t="s">
        <v>154</v>
      </c>
      <c r="B224" s="22">
        <f>MAPA!B204</f>
        <v>0</v>
      </c>
      <c r="C224" s="11">
        <f>MAPA!D204</f>
        <v>0</v>
      </c>
      <c r="D224" s="11">
        <f>MAPA!E204</f>
        <v>0</v>
      </c>
      <c r="E224" s="11">
        <f>MAPA!F204</f>
        <v>0</v>
      </c>
      <c r="F224" s="20"/>
      <c r="G224" s="20"/>
    </row>
    <row r="225" spans="1:7" s="88" customFormat="1" ht="18" hidden="1" customHeight="1" x14ac:dyDescent="0.25">
      <c r="A225" s="122" t="s">
        <v>155</v>
      </c>
      <c r="B225" s="22">
        <f>MAPA!B205</f>
        <v>0</v>
      </c>
      <c r="C225" s="11">
        <f>MAPA!D205</f>
        <v>0</v>
      </c>
      <c r="D225" s="11">
        <f>MAPA!E205</f>
        <v>0</v>
      </c>
      <c r="E225" s="11">
        <f>MAPA!F205</f>
        <v>0</v>
      </c>
      <c r="F225" s="20"/>
      <c r="G225" s="20"/>
    </row>
    <row r="226" spans="1:7" s="88" customFormat="1" ht="18" hidden="1" customHeight="1" x14ac:dyDescent="0.25">
      <c r="A226" s="122" t="s">
        <v>156</v>
      </c>
      <c r="B226" s="22">
        <f>MAPA!B206</f>
        <v>0</v>
      </c>
      <c r="C226" s="11">
        <f>MAPA!D206</f>
        <v>0</v>
      </c>
      <c r="D226" s="11">
        <f>MAPA!E206</f>
        <v>0</v>
      </c>
      <c r="E226" s="11">
        <f>MAPA!F206</f>
        <v>0</v>
      </c>
      <c r="F226" s="20"/>
      <c r="G226" s="20"/>
    </row>
    <row r="227" spans="1:7" s="88" customFormat="1" ht="18" hidden="1" customHeight="1" x14ac:dyDescent="0.25">
      <c r="A227" s="122" t="s">
        <v>157</v>
      </c>
      <c r="B227" s="22">
        <f>MAPA!B207</f>
        <v>0</v>
      </c>
      <c r="C227" s="11">
        <f>MAPA!D207</f>
        <v>0</v>
      </c>
      <c r="D227" s="11">
        <f>MAPA!E207</f>
        <v>0</v>
      </c>
      <c r="E227" s="11">
        <f>MAPA!F207</f>
        <v>0</v>
      </c>
      <c r="F227" s="20"/>
      <c r="G227" s="20"/>
    </row>
    <row r="228" spans="1:7" s="88" customFormat="1" ht="18" hidden="1" customHeight="1" x14ac:dyDescent="0.25">
      <c r="A228" s="122" t="s">
        <v>158</v>
      </c>
      <c r="B228" s="22">
        <f>MAPA!B208</f>
        <v>0</v>
      </c>
      <c r="C228" s="11">
        <f>MAPA!D208</f>
        <v>0</v>
      </c>
      <c r="D228" s="11">
        <f>MAPA!E208</f>
        <v>0</v>
      </c>
      <c r="E228" s="11">
        <f>MAPA!F208</f>
        <v>0</v>
      </c>
      <c r="F228" s="20"/>
      <c r="G228" s="20"/>
    </row>
    <row r="229" spans="1:7" s="88" customFormat="1" ht="18" hidden="1" customHeight="1" x14ac:dyDescent="0.25">
      <c r="A229" s="122" t="s">
        <v>159</v>
      </c>
      <c r="B229" s="22">
        <f>MAPA!B209</f>
        <v>0</v>
      </c>
      <c r="C229" s="11">
        <f>MAPA!D209</f>
        <v>0</v>
      </c>
      <c r="D229" s="11">
        <f>MAPA!E209</f>
        <v>0</v>
      </c>
      <c r="E229" s="11">
        <f>MAPA!F209</f>
        <v>0</v>
      </c>
      <c r="F229" s="20"/>
      <c r="G229" s="20"/>
    </row>
    <row r="230" spans="1:7" s="88" customFormat="1" ht="18" hidden="1" customHeight="1" x14ac:dyDescent="0.25">
      <c r="A230" s="122" t="s">
        <v>160</v>
      </c>
      <c r="B230" s="22">
        <f>MAPA!B210</f>
        <v>0</v>
      </c>
      <c r="C230" s="11">
        <f>MAPA!D210</f>
        <v>0</v>
      </c>
      <c r="D230" s="11">
        <f>MAPA!E210</f>
        <v>0</v>
      </c>
      <c r="E230" s="11">
        <f>MAPA!F210</f>
        <v>0</v>
      </c>
      <c r="F230" s="20"/>
      <c r="G230" s="20"/>
    </row>
    <row r="231" spans="1:7" s="88" customFormat="1" ht="18" hidden="1" customHeight="1" x14ac:dyDescent="0.25">
      <c r="A231" s="122" t="s">
        <v>161</v>
      </c>
      <c r="B231" s="22">
        <f>MAPA!B211</f>
        <v>0</v>
      </c>
      <c r="C231" s="11">
        <f>MAPA!D211</f>
        <v>0</v>
      </c>
      <c r="D231" s="11">
        <f>MAPA!E211</f>
        <v>0</v>
      </c>
      <c r="E231" s="11">
        <f>MAPA!F211</f>
        <v>0</v>
      </c>
      <c r="F231" s="20"/>
      <c r="G231" s="20"/>
    </row>
    <row r="232" spans="1:7" s="88" customFormat="1" ht="18" hidden="1" customHeight="1" x14ac:dyDescent="0.25">
      <c r="A232" s="122" t="s">
        <v>162</v>
      </c>
      <c r="B232" s="22">
        <f>MAPA!B212</f>
        <v>0</v>
      </c>
      <c r="C232" s="11">
        <f>MAPA!D212</f>
        <v>0</v>
      </c>
      <c r="D232" s="11">
        <f>MAPA!E212</f>
        <v>0</v>
      </c>
      <c r="E232" s="11">
        <f>MAPA!F212</f>
        <v>0</v>
      </c>
      <c r="F232" s="20"/>
      <c r="G232" s="20"/>
    </row>
    <row r="233" spans="1:7" s="88" customFormat="1" ht="18" hidden="1" customHeight="1" x14ac:dyDescent="0.25">
      <c r="A233" s="122" t="s">
        <v>163</v>
      </c>
      <c r="B233" s="22">
        <f>MAPA!B213</f>
        <v>0</v>
      </c>
      <c r="C233" s="11">
        <f>MAPA!D213</f>
        <v>0</v>
      </c>
      <c r="D233" s="11">
        <f>MAPA!E213</f>
        <v>0</v>
      </c>
      <c r="E233" s="11">
        <f>MAPA!F213</f>
        <v>0</v>
      </c>
      <c r="F233" s="20"/>
      <c r="G233" s="20"/>
    </row>
    <row r="234" spans="1:7" s="88" customFormat="1" ht="18" hidden="1" customHeight="1" x14ac:dyDescent="0.25">
      <c r="A234" s="122" t="s">
        <v>164</v>
      </c>
      <c r="B234" s="22">
        <f>MAPA!B214</f>
        <v>0</v>
      </c>
      <c r="C234" s="11">
        <f>MAPA!D214</f>
        <v>0</v>
      </c>
      <c r="D234" s="11">
        <f>MAPA!E214</f>
        <v>0</v>
      </c>
      <c r="E234" s="11">
        <f>MAPA!F214</f>
        <v>0</v>
      </c>
      <c r="F234" s="20"/>
      <c r="G234" s="20"/>
    </row>
    <row r="235" spans="1:7" s="88" customFormat="1" ht="18" hidden="1" customHeight="1" x14ac:dyDescent="0.25">
      <c r="A235" s="122" t="s">
        <v>165</v>
      </c>
      <c r="B235" s="22">
        <f>MAPA!B215</f>
        <v>0</v>
      </c>
      <c r="C235" s="11">
        <f>MAPA!D215</f>
        <v>0</v>
      </c>
      <c r="D235" s="11">
        <f>MAPA!E215</f>
        <v>0</v>
      </c>
      <c r="E235" s="11">
        <f>MAPA!F215</f>
        <v>0</v>
      </c>
      <c r="F235" s="20"/>
      <c r="G235" s="20"/>
    </row>
    <row r="236" spans="1:7" s="88" customFormat="1" ht="18" hidden="1" customHeight="1" x14ac:dyDescent="0.25">
      <c r="A236" s="122" t="s">
        <v>166</v>
      </c>
      <c r="B236" s="22">
        <f>MAPA!B216</f>
        <v>0</v>
      </c>
      <c r="C236" s="11">
        <f>MAPA!D216</f>
        <v>0</v>
      </c>
      <c r="D236" s="11">
        <f>MAPA!E216</f>
        <v>0</v>
      </c>
      <c r="E236" s="11">
        <f>MAPA!F216</f>
        <v>0</v>
      </c>
      <c r="F236" s="20"/>
      <c r="G236" s="20"/>
    </row>
    <row r="237" spans="1:7" s="88" customFormat="1" ht="18" hidden="1" customHeight="1" x14ac:dyDescent="0.25">
      <c r="A237" s="122" t="s">
        <v>167</v>
      </c>
      <c r="B237" s="22">
        <f>MAPA!B217</f>
        <v>0</v>
      </c>
      <c r="C237" s="11">
        <f>MAPA!D217</f>
        <v>0</v>
      </c>
      <c r="D237" s="11">
        <f>MAPA!E217</f>
        <v>0</v>
      </c>
      <c r="E237" s="11">
        <f>MAPA!F217</f>
        <v>0</v>
      </c>
      <c r="F237" s="20"/>
      <c r="G237" s="20"/>
    </row>
    <row r="238" spans="1:7" s="88" customFormat="1" ht="18" hidden="1" customHeight="1" x14ac:dyDescent="0.25">
      <c r="A238" s="122" t="s">
        <v>168</v>
      </c>
      <c r="B238" s="22">
        <f>MAPA!B218</f>
        <v>0</v>
      </c>
      <c r="C238" s="11">
        <f>MAPA!D218</f>
        <v>0</v>
      </c>
      <c r="D238" s="11">
        <f>MAPA!E218</f>
        <v>0</v>
      </c>
      <c r="E238" s="11">
        <f>MAPA!F218</f>
        <v>0</v>
      </c>
      <c r="F238" s="20"/>
      <c r="G238" s="20"/>
    </row>
    <row r="239" spans="1:7" s="88" customFormat="1" ht="18" hidden="1" customHeight="1" x14ac:dyDescent="0.25">
      <c r="A239" s="122" t="s">
        <v>169</v>
      </c>
      <c r="B239" s="22">
        <f>MAPA!B219</f>
        <v>0</v>
      </c>
      <c r="C239" s="11">
        <f>MAPA!D219</f>
        <v>0</v>
      </c>
      <c r="D239" s="11">
        <f>MAPA!E219</f>
        <v>0</v>
      </c>
      <c r="E239" s="11">
        <f>MAPA!F219</f>
        <v>0</v>
      </c>
      <c r="F239" s="20"/>
      <c r="G239" s="20"/>
    </row>
    <row r="240" spans="1:7" s="88" customFormat="1" ht="18" hidden="1" customHeight="1" x14ac:dyDescent="0.25">
      <c r="A240" s="122" t="s">
        <v>170</v>
      </c>
      <c r="B240" s="22">
        <f>MAPA!B220</f>
        <v>0</v>
      </c>
      <c r="C240" s="11">
        <f>MAPA!D220</f>
        <v>0</v>
      </c>
      <c r="D240" s="11">
        <f>MAPA!E220</f>
        <v>0</v>
      </c>
      <c r="E240" s="11">
        <f>MAPA!F220</f>
        <v>0</v>
      </c>
      <c r="F240" s="20"/>
      <c r="G240" s="20"/>
    </row>
    <row r="241" spans="1:7" s="88" customFormat="1" ht="18" hidden="1" customHeight="1" x14ac:dyDescent="0.25">
      <c r="A241" s="122" t="s">
        <v>171</v>
      </c>
      <c r="B241" s="22">
        <f>MAPA!B221</f>
        <v>0</v>
      </c>
      <c r="C241" s="11">
        <f>MAPA!D221</f>
        <v>0</v>
      </c>
      <c r="D241" s="11">
        <f>MAPA!E221</f>
        <v>0</v>
      </c>
      <c r="E241" s="11">
        <f>MAPA!F221</f>
        <v>0</v>
      </c>
      <c r="F241" s="20"/>
      <c r="G241" s="20"/>
    </row>
    <row r="242" spans="1:7" s="88" customFormat="1" ht="18" hidden="1" customHeight="1" x14ac:dyDescent="0.25">
      <c r="A242" s="122" t="s">
        <v>172</v>
      </c>
      <c r="B242" s="22">
        <f>MAPA!B222</f>
        <v>0</v>
      </c>
      <c r="C242" s="11">
        <f>MAPA!D222</f>
        <v>0</v>
      </c>
      <c r="D242" s="11">
        <f>MAPA!E222</f>
        <v>0</v>
      </c>
      <c r="E242" s="11">
        <f>MAPA!F222</f>
        <v>0</v>
      </c>
      <c r="F242" s="20"/>
      <c r="G242" s="20"/>
    </row>
    <row r="243" spans="1:7" s="88" customFormat="1" ht="18" hidden="1" customHeight="1" x14ac:dyDescent="0.25">
      <c r="A243" s="122" t="s">
        <v>173</v>
      </c>
      <c r="B243" s="22">
        <f>MAPA!B223</f>
        <v>0</v>
      </c>
      <c r="C243" s="11">
        <f>MAPA!D223</f>
        <v>0</v>
      </c>
      <c r="D243" s="11">
        <f>MAPA!E223</f>
        <v>0</v>
      </c>
      <c r="E243" s="11">
        <f>MAPA!F223</f>
        <v>0</v>
      </c>
      <c r="F243" s="20"/>
      <c r="G243" s="20"/>
    </row>
    <row r="244" spans="1:7" s="88" customFormat="1" ht="18" hidden="1" customHeight="1" x14ac:dyDescent="0.25">
      <c r="A244" s="122" t="s">
        <v>174</v>
      </c>
      <c r="B244" s="22">
        <f>MAPA!B224</f>
        <v>0</v>
      </c>
      <c r="C244" s="11">
        <f>MAPA!D224</f>
        <v>0</v>
      </c>
      <c r="D244" s="11">
        <f>MAPA!E224</f>
        <v>0</v>
      </c>
      <c r="E244" s="11">
        <f>MAPA!F224</f>
        <v>0</v>
      </c>
      <c r="F244" s="20"/>
      <c r="G244" s="20"/>
    </row>
    <row r="245" spans="1:7" s="88" customFormat="1" ht="18" hidden="1" customHeight="1" x14ac:dyDescent="0.25">
      <c r="A245" s="122" t="s">
        <v>175</v>
      </c>
      <c r="B245" s="22">
        <f>MAPA!B225</f>
        <v>0</v>
      </c>
      <c r="C245" s="11">
        <f>MAPA!D225</f>
        <v>0</v>
      </c>
      <c r="D245" s="11">
        <f>MAPA!E225</f>
        <v>0</v>
      </c>
      <c r="E245" s="11">
        <f>MAPA!F225</f>
        <v>0</v>
      </c>
      <c r="F245" s="20"/>
      <c r="G245" s="20"/>
    </row>
    <row r="246" spans="1:7" s="88" customFormat="1" ht="18" hidden="1" customHeight="1" x14ac:dyDescent="0.25">
      <c r="A246" s="122" t="s">
        <v>176</v>
      </c>
      <c r="B246" s="22">
        <f>MAPA!B226</f>
        <v>0</v>
      </c>
      <c r="C246" s="11">
        <f>MAPA!D226</f>
        <v>0</v>
      </c>
      <c r="D246" s="11">
        <f>MAPA!E226</f>
        <v>0</v>
      </c>
      <c r="E246" s="11">
        <f>MAPA!F226</f>
        <v>0</v>
      </c>
      <c r="F246" s="20"/>
      <c r="G246" s="20"/>
    </row>
    <row r="247" spans="1:7" s="88" customFormat="1" ht="18" hidden="1" customHeight="1" x14ac:dyDescent="0.25">
      <c r="A247" s="122" t="s">
        <v>177</v>
      </c>
      <c r="B247" s="22">
        <f>MAPA!B227</f>
        <v>0</v>
      </c>
      <c r="C247" s="11">
        <f>MAPA!D227</f>
        <v>0</v>
      </c>
      <c r="D247" s="11">
        <f>MAPA!E227</f>
        <v>0</v>
      </c>
      <c r="E247" s="11">
        <f>MAPA!F227</f>
        <v>0</v>
      </c>
      <c r="F247" s="20"/>
      <c r="G247" s="20"/>
    </row>
    <row r="248" spans="1:7" s="88" customFormat="1" ht="18" hidden="1" customHeight="1" x14ac:dyDescent="0.25">
      <c r="A248" s="122" t="s">
        <v>105</v>
      </c>
      <c r="B248" s="22">
        <f>MAPA!B228</f>
        <v>0</v>
      </c>
      <c r="C248" s="11">
        <f>MAPA!D228</f>
        <v>0</v>
      </c>
      <c r="D248" s="11">
        <f>MAPA!E228</f>
        <v>0</v>
      </c>
      <c r="E248" s="11">
        <f>MAPA!F228</f>
        <v>0</v>
      </c>
      <c r="F248" s="20"/>
      <c r="G248" s="20"/>
    </row>
    <row r="249" spans="1:7" s="88" customFormat="1" ht="18" hidden="1" customHeight="1" x14ac:dyDescent="0.25">
      <c r="A249" s="122" t="s">
        <v>106</v>
      </c>
      <c r="B249" s="22">
        <f>MAPA!B229</f>
        <v>0</v>
      </c>
      <c r="C249" s="11">
        <f>MAPA!D229</f>
        <v>0</v>
      </c>
      <c r="D249" s="11">
        <f>MAPA!E229</f>
        <v>0</v>
      </c>
      <c r="E249" s="11">
        <f>MAPA!F229</f>
        <v>0</v>
      </c>
      <c r="F249" s="20"/>
      <c r="G249" s="20"/>
    </row>
    <row r="250" spans="1:7" s="88" customFormat="1" ht="18" hidden="1" customHeight="1" x14ac:dyDescent="0.25">
      <c r="A250" s="122" t="s">
        <v>103</v>
      </c>
      <c r="B250" s="22">
        <f>MAPA!B230</f>
        <v>0</v>
      </c>
      <c r="C250" s="11">
        <f>MAPA!D230</f>
        <v>0</v>
      </c>
      <c r="D250" s="11">
        <f>MAPA!E230</f>
        <v>0</v>
      </c>
      <c r="E250" s="11">
        <f>MAPA!F230</f>
        <v>0</v>
      </c>
      <c r="F250" s="20"/>
      <c r="G250" s="20"/>
    </row>
    <row r="251" spans="1:7" s="88" customFormat="1" ht="18" hidden="1" customHeight="1" x14ac:dyDescent="0.25">
      <c r="A251" s="122" t="s">
        <v>104</v>
      </c>
      <c r="B251" s="22">
        <f>MAPA!B231</f>
        <v>0</v>
      </c>
      <c r="C251" s="11">
        <f>MAPA!D231</f>
        <v>0</v>
      </c>
      <c r="D251" s="11">
        <f>MAPA!E231</f>
        <v>0</v>
      </c>
      <c r="E251" s="11">
        <f>MAPA!F231</f>
        <v>0</v>
      </c>
      <c r="F251" s="20"/>
      <c r="G251" s="20"/>
    </row>
    <row r="252" spans="1:7" s="88" customFormat="1" ht="18" hidden="1" customHeight="1" x14ac:dyDescent="0.25">
      <c r="A252" s="122" t="s">
        <v>105</v>
      </c>
      <c r="B252" s="22">
        <f>MAPA!B232</f>
        <v>0</v>
      </c>
      <c r="C252" s="11">
        <f>MAPA!D232</f>
        <v>0</v>
      </c>
      <c r="D252" s="11">
        <f>MAPA!E232</f>
        <v>0</v>
      </c>
      <c r="E252" s="11">
        <f>MAPA!F232</f>
        <v>0</v>
      </c>
      <c r="F252" s="20"/>
      <c r="G252" s="20"/>
    </row>
    <row r="253" spans="1:7" s="88" customFormat="1" ht="18" hidden="1" customHeight="1" x14ac:dyDescent="0.25">
      <c r="A253" s="122" t="s">
        <v>106</v>
      </c>
      <c r="B253" s="22">
        <f>MAPA!B233</f>
        <v>0</v>
      </c>
      <c r="C253" s="11">
        <f>MAPA!D233</f>
        <v>0</v>
      </c>
      <c r="D253" s="11">
        <f>MAPA!E233</f>
        <v>0</v>
      </c>
      <c r="E253" s="11">
        <f>MAPA!F233</f>
        <v>0</v>
      </c>
      <c r="F253" s="20"/>
      <c r="G253" s="20"/>
    </row>
    <row r="254" spans="1:7" s="88" customFormat="1" ht="18" hidden="1" customHeight="1" x14ac:dyDescent="0.25">
      <c r="A254" s="122" t="s">
        <v>107</v>
      </c>
      <c r="B254" s="22">
        <f>MAPA!B234</f>
        <v>0</v>
      </c>
      <c r="C254" s="11">
        <f>MAPA!D234</f>
        <v>0</v>
      </c>
      <c r="D254" s="11">
        <f>MAPA!E234</f>
        <v>0</v>
      </c>
      <c r="E254" s="11">
        <f>MAPA!F234</f>
        <v>0</v>
      </c>
      <c r="F254" s="20"/>
      <c r="G254" s="20"/>
    </row>
    <row r="255" spans="1:7" s="88" customFormat="1" ht="18" hidden="1" customHeight="1" x14ac:dyDescent="0.25">
      <c r="A255" s="122" t="s">
        <v>108</v>
      </c>
      <c r="B255" s="22">
        <f>MAPA!B235</f>
        <v>0</v>
      </c>
      <c r="C255" s="11">
        <f>MAPA!D235</f>
        <v>0</v>
      </c>
      <c r="D255" s="11">
        <f>MAPA!E235</f>
        <v>0</v>
      </c>
      <c r="E255" s="11">
        <f>MAPA!F235</f>
        <v>0</v>
      </c>
      <c r="F255" s="20"/>
      <c r="G255" s="20"/>
    </row>
    <row r="256" spans="1:7" s="88" customFormat="1" ht="18" hidden="1" customHeight="1" x14ac:dyDescent="0.25">
      <c r="A256" s="122" t="s">
        <v>105</v>
      </c>
      <c r="B256" s="22">
        <f>MAPA!B236</f>
        <v>0</v>
      </c>
      <c r="C256" s="11">
        <f>MAPA!D236</f>
        <v>0</v>
      </c>
      <c r="D256" s="11">
        <f>MAPA!E236</f>
        <v>0</v>
      </c>
      <c r="E256" s="11">
        <f>MAPA!F236</f>
        <v>0</v>
      </c>
      <c r="F256" s="20"/>
      <c r="G256" s="20"/>
    </row>
    <row r="257" spans="1:7" s="88" customFormat="1" ht="18" hidden="1" customHeight="1" x14ac:dyDescent="0.25">
      <c r="A257" s="122" t="s">
        <v>106</v>
      </c>
      <c r="B257" s="22">
        <f>MAPA!B237</f>
        <v>0</v>
      </c>
      <c r="C257" s="11">
        <f>MAPA!D237</f>
        <v>0</v>
      </c>
      <c r="D257" s="11">
        <f>MAPA!E237</f>
        <v>0</v>
      </c>
      <c r="E257" s="11">
        <f>MAPA!F237</f>
        <v>0</v>
      </c>
      <c r="F257" s="20"/>
      <c r="G257" s="20"/>
    </row>
    <row r="258" spans="1:7" s="88" customFormat="1" ht="18" hidden="1" customHeight="1" x14ac:dyDescent="0.25">
      <c r="A258" s="122" t="s">
        <v>107</v>
      </c>
      <c r="B258" s="22">
        <f>MAPA!B238</f>
        <v>0</v>
      </c>
      <c r="C258" s="11">
        <f>MAPA!D238</f>
        <v>0</v>
      </c>
      <c r="D258" s="11">
        <f>MAPA!E238</f>
        <v>0</v>
      </c>
      <c r="E258" s="11">
        <f>MAPA!F238</f>
        <v>0</v>
      </c>
      <c r="F258" s="20"/>
      <c r="G258" s="20"/>
    </row>
    <row r="259" spans="1:7" s="88" customFormat="1" ht="18" hidden="1" customHeight="1" x14ac:dyDescent="0.25">
      <c r="A259" s="122" t="s">
        <v>108</v>
      </c>
      <c r="B259" s="22">
        <f>MAPA!B239</f>
        <v>0</v>
      </c>
      <c r="C259" s="11">
        <f>MAPA!D239</f>
        <v>0</v>
      </c>
      <c r="D259" s="11">
        <f>MAPA!E239</f>
        <v>0</v>
      </c>
      <c r="E259" s="11">
        <f>MAPA!F239</f>
        <v>0</v>
      </c>
      <c r="F259" s="20"/>
      <c r="G259" s="20"/>
    </row>
    <row r="260" spans="1:7" s="88" customFormat="1" ht="18" hidden="1" customHeight="1" x14ac:dyDescent="0.25">
      <c r="A260" s="122" t="s">
        <v>109</v>
      </c>
      <c r="B260" s="22">
        <f>MAPA!B240</f>
        <v>0</v>
      </c>
      <c r="C260" s="11">
        <f>MAPA!D240</f>
        <v>0</v>
      </c>
      <c r="D260" s="11">
        <f>MAPA!E240</f>
        <v>0</v>
      </c>
      <c r="E260" s="11">
        <f>MAPA!F240</f>
        <v>0</v>
      </c>
      <c r="F260" s="20"/>
      <c r="G260" s="20"/>
    </row>
    <row r="261" spans="1:7" s="88" customFormat="1" ht="18" hidden="1" customHeight="1" x14ac:dyDescent="0.25">
      <c r="A261" s="122" t="s">
        <v>110</v>
      </c>
      <c r="B261" s="22">
        <f>MAPA!B241</f>
        <v>0</v>
      </c>
      <c r="C261" s="11">
        <f>MAPA!D241</f>
        <v>0</v>
      </c>
      <c r="D261" s="11">
        <f>MAPA!E241</f>
        <v>0</v>
      </c>
      <c r="E261" s="11">
        <f>MAPA!F241</f>
        <v>0</v>
      </c>
      <c r="F261" s="20"/>
      <c r="G261" s="20"/>
    </row>
    <row r="262" spans="1:7" s="88" customFormat="1" ht="18" hidden="1" customHeight="1" x14ac:dyDescent="0.25">
      <c r="A262" s="122" t="s">
        <v>107</v>
      </c>
      <c r="B262" s="22">
        <f>MAPA!B242</f>
        <v>0</v>
      </c>
      <c r="C262" s="11">
        <f>MAPA!D242</f>
        <v>0</v>
      </c>
      <c r="D262" s="11">
        <f>MAPA!E242</f>
        <v>0</v>
      </c>
      <c r="E262" s="11">
        <f>MAPA!F242</f>
        <v>0</v>
      </c>
      <c r="F262" s="20"/>
      <c r="G262" s="20"/>
    </row>
    <row r="263" spans="1:7" s="88" customFormat="1" ht="18" hidden="1" customHeight="1" x14ac:dyDescent="0.25">
      <c r="A263" s="122" t="s">
        <v>108</v>
      </c>
      <c r="B263" s="22">
        <f>MAPA!B243</f>
        <v>0</v>
      </c>
      <c r="C263" s="11">
        <f>MAPA!D243</f>
        <v>0</v>
      </c>
      <c r="D263" s="11">
        <f>MAPA!E243</f>
        <v>0</v>
      </c>
      <c r="E263" s="11">
        <f>MAPA!F243</f>
        <v>0</v>
      </c>
      <c r="F263" s="20"/>
      <c r="G263" s="20"/>
    </row>
    <row r="264" spans="1:7" s="88" customFormat="1" ht="18" hidden="1" customHeight="1" x14ac:dyDescent="0.25">
      <c r="A264" s="122" t="s">
        <v>109</v>
      </c>
      <c r="B264" s="22">
        <f>MAPA!B244</f>
        <v>0</v>
      </c>
      <c r="C264" s="11">
        <f>MAPA!D244</f>
        <v>0</v>
      </c>
      <c r="D264" s="11">
        <f>MAPA!E244</f>
        <v>0</v>
      </c>
      <c r="E264" s="11">
        <f>MAPA!F244</f>
        <v>0</v>
      </c>
      <c r="F264" s="20"/>
      <c r="G264" s="20"/>
    </row>
    <row r="265" spans="1:7" s="88" customFormat="1" ht="18" hidden="1" customHeight="1" x14ac:dyDescent="0.25">
      <c r="A265" s="122" t="s">
        <v>110</v>
      </c>
      <c r="B265" s="22">
        <f>MAPA!B245</f>
        <v>0</v>
      </c>
      <c r="C265" s="11">
        <f>MAPA!D245</f>
        <v>0</v>
      </c>
      <c r="D265" s="11">
        <f>MAPA!E245</f>
        <v>0</v>
      </c>
      <c r="E265" s="11">
        <f>MAPA!F245</f>
        <v>0</v>
      </c>
      <c r="F265" s="20"/>
      <c r="G265" s="20"/>
    </row>
    <row r="266" spans="1:7" s="88" customFormat="1" ht="18" hidden="1" customHeight="1" x14ac:dyDescent="0.25">
      <c r="A266" s="122" t="s">
        <v>111</v>
      </c>
      <c r="B266" s="22">
        <f>MAPA!B246</f>
        <v>0</v>
      </c>
      <c r="C266" s="11">
        <f>MAPA!D246</f>
        <v>0</v>
      </c>
      <c r="D266" s="11">
        <f>MAPA!E246</f>
        <v>0</v>
      </c>
      <c r="E266" s="11">
        <f>MAPA!F246</f>
        <v>0</v>
      </c>
      <c r="F266" s="20"/>
      <c r="G266" s="20"/>
    </row>
    <row r="267" spans="1:7" s="88" customFormat="1" ht="18" hidden="1" customHeight="1" x14ac:dyDescent="0.25">
      <c r="A267" s="122" t="s">
        <v>112</v>
      </c>
      <c r="B267" s="22">
        <f>MAPA!B247</f>
        <v>0</v>
      </c>
      <c r="C267" s="11">
        <f>MAPA!D247</f>
        <v>0</v>
      </c>
      <c r="D267" s="11">
        <f>MAPA!E247</f>
        <v>0</v>
      </c>
      <c r="E267" s="11">
        <f>MAPA!F247</f>
        <v>0</v>
      </c>
      <c r="F267" s="20"/>
      <c r="G267" s="20"/>
    </row>
    <row r="268" spans="1:7" s="88" customFormat="1" ht="18" hidden="1" customHeight="1" x14ac:dyDescent="0.25">
      <c r="A268" s="122" t="s">
        <v>109</v>
      </c>
      <c r="B268" s="22">
        <f>MAPA!B248</f>
        <v>0</v>
      </c>
      <c r="C268" s="11">
        <f>MAPA!D248</f>
        <v>0</v>
      </c>
      <c r="D268" s="11">
        <f>MAPA!E248</f>
        <v>0</v>
      </c>
      <c r="E268" s="11">
        <f>MAPA!F248</f>
        <v>0</v>
      </c>
      <c r="F268" s="20"/>
      <c r="G268" s="20"/>
    </row>
    <row r="269" spans="1:7" s="88" customFormat="1" ht="18" hidden="1" customHeight="1" x14ac:dyDescent="0.25">
      <c r="A269" s="122" t="s">
        <v>110</v>
      </c>
      <c r="B269" s="22">
        <f>MAPA!B249</f>
        <v>0</v>
      </c>
      <c r="C269" s="11">
        <f>MAPA!D249</f>
        <v>0</v>
      </c>
      <c r="D269" s="11">
        <f>MAPA!E249</f>
        <v>0</v>
      </c>
      <c r="E269" s="11">
        <f>MAPA!F249</f>
        <v>0</v>
      </c>
      <c r="F269" s="20"/>
      <c r="G269" s="20"/>
    </row>
    <row r="270" spans="1:7" s="88" customFormat="1" ht="18" hidden="1" customHeight="1" x14ac:dyDescent="0.25">
      <c r="A270" s="122" t="s">
        <v>111</v>
      </c>
      <c r="B270" s="22">
        <f>MAPA!B250</f>
        <v>0</v>
      </c>
      <c r="C270" s="11">
        <f>MAPA!D250</f>
        <v>0</v>
      </c>
      <c r="D270" s="11">
        <f>MAPA!E250</f>
        <v>0</v>
      </c>
      <c r="E270" s="11">
        <f>MAPA!F250</f>
        <v>0</v>
      </c>
      <c r="F270" s="20"/>
      <c r="G270" s="20"/>
    </row>
    <row r="271" spans="1:7" s="88" customFormat="1" ht="18" hidden="1" customHeight="1" x14ac:dyDescent="0.25">
      <c r="A271" s="122" t="s">
        <v>112</v>
      </c>
      <c r="B271" s="22">
        <f>MAPA!B251</f>
        <v>0</v>
      </c>
      <c r="C271" s="11">
        <f>MAPA!D251</f>
        <v>0</v>
      </c>
      <c r="D271" s="11">
        <f>MAPA!E251</f>
        <v>0</v>
      </c>
      <c r="E271" s="11">
        <f>MAPA!F251</f>
        <v>0</v>
      </c>
      <c r="F271" s="20"/>
      <c r="G271" s="20"/>
    </row>
    <row r="272" spans="1:7" s="88" customFormat="1" ht="18" hidden="1" customHeight="1" x14ac:dyDescent="0.25">
      <c r="A272" s="122" t="s">
        <v>113</v>
      </c>
      <c r="B272" s="22">
        <f>MAPA!B252</f>
        <v>0</v>
      </c>
      <c r="C272" s="11">
        <f>MAPA!D252</f>
        <v>0</v>
      </c>
      <c r="D272" s="11">
        <f>MAPA!E252</f>
        <v>0</v>
      </c>
      <c r="E272" s="11">
        <f>MAPA!F252</f>
        <v>0</v>
      </c>
      <c r="F272" s="20"/>
      <c r="G272" s="20"/>
    </row>
    <row r="273" spans="1:7" s="88" customFormat="1" ht="18" hidden="1" customHeight="1" x14ac:dyDescent="0.25">
      <c r="A273" s="122" t="s">
        <v>114</v>
      </c>
      <c r="B273" s="22">
        <f>MAPA!B253</f>
        <v>0</v>
      </c>
      <c r="C273" s="11">
        <f>MAPA!D253</f>
        <v>0</v>
      </c>
      <c r="D273" s="11">
        <f>MAPA!E253</f>
        <v>0</v>
      </c>
      <c r="E273" s="11">
        <f>MAPA!F253</f>
        <v>0</v>
      </c>
      <c r="F273" s="20"/>
      <c r="G273" s="20"/>
    </row>
    <row r="274" spans="1:7" s="88" customFormat="1" ht="18" hidden="1" customHeight="1" x14ac:dyDescent="0.25">
      <c r="A274" s="122" t="s">
        <v>111</v>
      </c>
      <c r="B274" s="22">
        <f>MAPA!B254</f>
        <v>0</v>
      </c>
      <c r="C274" s="11">
        <f>MAPA!D254</f>
        <v>0</v>
      </c>
      <c r="D274" s="11">
        <f>MAPA!E254</f>
        <v>0</v>
      </c>
      <c r="E274" s="11">
        <f>MAPA!F254</f>
        <v>0</v>
      </c>
      <c r="F274" s="20"/>
      <c r="G274" s="20"/>
    </row>
    <row r="275" spans="1:7" s="88" customFormat="1" ht="18" hidden="1" customHeight="1" x14ac:dyDescent="0.25">
      <c r="A275" s="122" t="s">
        <v>112</v>
      </c>
      <c r="B275" s="22">
        <f>MAPA!B255</f>
        <v>0</v>
      </c>
      <c r="C275" s="11">
        <f>MAPA!D255</f>
        <v>0</v>
      </c>
      <c r="D275" s="11">
        <f>MAPA!E255</f>
        <v>0</v>
      </c>
      <c r="E275" s="11">
        <f>MAPA!F255</f>
        <v>0</v>
      </c>
      <c r="F275" s="20"/>
      <c r="G275" s="20"/>
    </row>
    <row r="276" spans="1:7" s="88" customFormat="1" ht="18" hidden="1" customHeight="1" x14ac:dyDescent="0.25">
      <c r="A276" s="122" t="s">
        <v>113</v>
      </c>
      <c r="B276" s="22">
        <f>MAPA!B256</f>
        <v>0</v>
      </c>
      <c r="C276" s="11">
        <f>MAPA!D256</f>
        <v>0</v>
      </c>
      <c r="D276" s="11">
        <f>MAPA!E256</f>
        <v>0</v>
      </c>
      <c r="E276" s="11">
        <f>MAPA!F256</f>
        <v>0</v>
      </c>
      <c r="F276" s="20"/>
      <c r="G276" s="20"/>
    </row>
    <row r="277" spans="1:7" s="88" customFormat="1" ht="18" hidden="1" customHeight="1" x14ac:dyDescent="0.25">
      <c r="A277" s="122" t="s">
        <v>114</v>
      </c>
      <c r="B277" s="22">
        <f>MAPA!B257</f>
        <v>0</v>
      </c>
      <c r="C277" s="11">
        <f>MAPA!D257</f>
        <v>0</v>
      </c>
      <c r="D277" s="11">
        <f>MAPA!E257</f>
        <v>0</v>
      </c>
      <c r="E277" s="11">
        <f>MAPA!F257</f>
        <v>0</v>
      </c>
      <c r="F277" s="20"/>
      <c r="G277" s="20"/>
    </row>
    <row r="278" spans="1:7" s="88" customFormat="1" ht="18" hidden="1" customHeight="1" x14ac:dyDescent="0.25">
      <c r="A278" s="122" t="s">
        <v>115</v>
      </c>
      <c r="B278" s="22">
        <f>MAPA!B258</f>
        <v>0</v>
      </c>
      <c r="C278" s="11">
        <f>MAPA!D258</f>
        <v>0</v>
      </c>
      <c r="D278" s="11">
        <f>MAPA!E258</f>
        <v>0</v>
      </c>
      <c r="E278" s="11">
        <f>MAPA!F258</f>
        <v>0</v>
      </c>
      <c r="F278" s="20"/>
      <c r="G278" s="20"/>
    </row>
    <row r="279" spans="1:7" s="88" customFormat="1" ht="18" hidden="1" customHeight="1" x14ac:dyDescent="0.25">
      <c r="A279" s="122" t="s">
        <v>116</v>
      </c>
      <c r="B279" s="22">
        <f>MAPA!B259</f>
        <v>0</v>
      </c>
      <c r="C279" s="11">
        <f>MAPA!D259</f>
        <v>0</v>
      </c>
      <c r="D279" s="11">
        <f>MAPA!E259</f>
        <v>0</v>
      </c>
      <c r="E279" s="11">
        <f>MAPA!F259</f>
        <v>0</v>
      </c>
      <c r="F279" s="20"/>
      <c r="G279" s="20"/>
    </row>
    <row r="280" spans="1:7" s="88" customFormat="1" ht="18" hidden="1" customHeight="1" x14ac:dyDescent="0.25">
      <c r="A280" s="122" t="s">
        <v>113</v>
      </c>
      <c r="B280" s="22">
        <f>MAPA!B260</f>
        <v>0</v>
      </c>
      <c r="C280" s="11">
        <f>MAPA!D260</f>
        <v>0</v>
      </c>
      <c r="D280" s="11">
        <f>MAPA!E260</f>
        <v>0</v>
      </c>
      <c r="E280" s="11">
        <f>MAPA!F260</f>
        <v>0</v>
      </c>
      <c r="F280" s="20"/>
      <c r="G280" s="20"/>
    </row>
    <row r="281" spans="1:7" s="88" customFormat="1" ht="18" hidden="1" customHeight="1" x14ac:dyDescent="0.25">
      <c r="A281" s="122" t="s">
        <v>114</v>
      </c>
      <c r="B281" s="22">
        <f>MAPA!B261</f>
        <v>0</v>
      </c>
      <c r="C281" s="11">
        <f>MAPA!D261</f>
        <v>0</v>
      </c>
      <c r="D281" s="11">
        <f>MAPA!E261</f>
        <v>0</v>
      </c>
      <c r="E281" s="11">
        <f>MAPA!F261</f>
        <v>0</v>
      </c>
      <c r="F281" s="20"/>
      <c r="G281" s="20"/>
    </row>
    <row r="282" spans="1:7" s="88" customFormat="1" ht="18" hidden="1" customHeight="1" x14ac:dyDescent="0.25">
      <c r="A282" s="122" t="s">
        <v>115</v>
      </c>
      <c r="B282" s="22">
        <f>MAPA!B262</f>
        <v>0</v>
      </c>
      <c r="C282" s="11">
        <f>MAPA!D262</f>
        <v>0</v>
      </c>
      <c r="D282" s="11">
        <f>MAPA!E262</f>
        <v>0</v>
      </c>
      <c r="E282" s="11">
        <f>MAPA!F262</f>
        <v>0</v>
      </c>
      <c r="F282" s="20"/>
      <c r="G282" s="20"/>
    </row>
    <row r="283" spans="1:7" s="88" customFormat="1" ht="18" hidden="1" customHeight="1" x14ac:dyDescent="0.25">
      <c r="A283" s="122" t="s">
        <v>116</v>
      </c>
      <c r="B283" s="22">
        <f>MAPA!B263</f>
        <v>0</v>
      </c>
      <c r="C283" s="11">
        <f>MAPA!D263</f>
        <v>0</v>
      </c>
      <c r="D283" s="11">
        <f>MAPA!E263</f>
        <v>0</v>
      </c>
      <c r="E283" s="11">
        <f>MAPA!F263</f>
        <v>0</v>
      </c>
      <c r="F283" s="20"/>
      <c r="G283" s="20"/>
    </row>
    <row r="284" spans="1:7" s="88" customFormat="1" ht="18" hidden="1" customHeight="1" x14ac:dyDescent="0.25">
      <c r="A284" s="122" t="s">
        <v>117</v>
      </c>
      <c r="B284" s="22">
        <f>MAPA!B264</f>
        <v>0</v>
      </c>
      <c r="C284" s="11">
        <f>MAPA!D264</f>
        <v>0</v>
      </c>
      <c r="D284" s="11">
        <f>MAPA!E264</f>
        <v>0</v>
      </c>
      <c r="E284" s="11">
        <f>MAPA!F264</f>
        <v>0</v>
      </c>
      <c r="F284" s="20"/>
      <c r="G284" s="20"/>
    </row>
    <row r="285" spans="1:7" s="88" customFormat="1" ht="18" hidden="1" customHeight="1" x14ac:dyDescent="0.25">
      <c r="A285" s="122" t="s">
        <v>118</v>
      </c>
      <c r="B285" s="22">
        <f>MAPA!B265</f>
        <v>0</v>
      </c>
      <c r="C285" s="11">
        <f>MAPA!D265</f>
        <v>0</v>
      </c>
      <c r="D285" s="11">
        <f>MAPA!E265</f>
        <v>0</v>
      </c>
      <c r="E285" s="11">
        <f>MAPA!F265</f>
        <v>0</v>
      </c>
      <c r="F285" s="20"/>
      <c r="G285" s="20"/>
    </row>
    <row r="286" spans="1:7" s="88" customFormat="1" ht="18" hidden="1" customHeight="1" x14ac:dyDescent="0.25">
      <c r="A286" s="122" t="s">
        <v>115</v>
      </c>
      <c r="B286" s="22">
        <f>MAPA!B266</f>
        <v>0</v>
      </c>
      <c r="C286" s="11">
        <f>MAPA!D266</f>
        <v>0</v>
      </c>
      <c r="D286" s="11">
        <f>MAPA!E266</f>
        <v>0</v>
      </c>
      <c r="E286" s="11">
        <f>MAPA!F266</f>
        <v>0</v>
      </c>
      <c r="F286" s="20"/>
      <c r="G286" s="20"/>
    </row>
    <row r="287" spans="1:7" s="88" customFormat="1" ht="18" hidden="1" customHeight="1" x14ac:dyDescent="0.25">
      <c r="A287" s="122" t="s">
        <v>116</v>
      </c>
      <c r="B287" s="22">
        <f>MAPA!B267</f>
        <v>0</v>
      </c>
      <c r="C287" s="11">
        <f>MAPA!D267</f>
        <v>0</v>
      </c>
      <c r="D287" s="11">
        <f>MAPA!E267</f>
        <v>0</v>
      </c>
      <c r="E287" s="11">
        <f>MAPA!F267</f>
        <v>0</v>
      </c>
      <c r="F287" s="20"/>
      <c r="G287" s="20"/>
    </row>
    <row r="288" spans="1:7" s="88" customFormat="1" ht="18" hidden="1" customHeight="1" x14ac:dyDescent="0.25">
      <c r="A288" s="122" t="s">
        <v>117</v>
      </c>
      <c r="B288" s="22">
        <f>MAPA!B268</f>
        <v>0</v>
      </c>
      <c r="C288" s="11">
        <f>MAPA!D268</f>
        <v>0</v>
      </c>
      <c r="D288" s="11">
        <f>MAPA!E268</f>
        <v>0</v>
      </c>
      <c r="E288" s="11">
        <f>MAPA!F268</f>
        <v>0</v>
      </c>
      <c r="F288" s="20"/>
      <c r="G288" s="20"/>
    </row>
    <row r="289" spans="1:7" s="88" customFormat="1" ht="18" hidden="1" customHeight="1" x14ac:dyDescent="0.25">
      <c r="A289" s="122" t="s">
        <v>118</v>
      </c>
      <c r="B289" s="22">
        <f>MAPA!B269</f>
        <v>0</v>
      </c>
      <c r="C289" s="11">
        <f>MAPA!D269</f>
        <v>0</v>
      </c>
      <c r="D289" s="11">
        <f>MAPA!E269</f>
        <v>0</v>
      </c>
      <c r="E289" s="11">
        <f>MAPA!F269</f>
        <v>0</v>
      </c>
      <c r="F289" s="20"/>
      <c r="G289" s="20"/>
    </row>
    <row r="290" spans="1:7" s="88" customFormat="1" ht="18" hidden="1" customHeight="1" x14ac:dyDescent="0.25">
      <c r="A290" s="122" t="s">
        <v>119</v>
      </c>
      <c r="B290" s="22">
        <f>MAPA!B270</f>
        <v>0</v>
      </c>
      <c r="C290" s="11">
        <f>MAPA!D270</f>
        <v>0</v>
      </c>
      <c r="D290" s="11">
        <f>MAPA!E270</f>
        <v>0</v>
      </c>
      <c r="E290" s="11">
        <f>MAPA!F270</f>
        <v>0</v>
      </c>
      <c r="F290" s="20"/>
      <c r="G290" s="20"/>
    </row>
    <row r="291" spans="1:7" s="88" customFormat="1" ht="18" hidden="1" customHeight="1" x14ac:dyDescent="0.25">
      <c r="A291" s="122" t="s">
        <v>120</v>
      </c>
      <c r="B291" s="22">
        <f>MAPA!B271</f>
        <v>0</v>
      </c>
      <c r="C291" s="11">
        <f>MAPA!D271</f>
        <v>0</v>
      </c>
      <c r="D291" s="11">
        <f>MAPA!E271</f>
        <v>0</v>
      </c>
      <c r="E291" s="11">
        <f>MAPA!F271</f>
        <v>0</v>
      </c>
      <c r="F291" s="20"/>
      <c r="G291" s="20"/>
    </row>
    <row r="292" spans="1:7" s="88" customFormat="1" ht="18" hidden="1" customHeight="1" x14ac:dyDescent="0.25">
      <c r="A292" s="122" t="s">
        <v>117</v>
      </c>
      <c r="B292" s="22">
        <f>MAPA!B272</f>
        <v>0</v>
      </c>
      <c r="C292" s="11">
        <f>MAPA!D272</f>
        <v>0</v>
      </c>
      <c r="D292" s="11">
        <f>MAPA!E272</f>
        <v>0</v>
      </c>
      <c r="E292" s="11">
        <f>MAPA!F272</f>
        <v>0</v>
      </c>
      <c r="F292" s="20"/>
      <c r="G292" s="20"/>
    </row>
    <row r="293" spans="1:7" s="88" customFormat="1" ht="18" hidden="1" customHeight="1" x14ac:dyDescent="0.25">
      <c r="A293" s="122" t="s">
        <v>118</v>
      </c>
      <c r="B293" s="22">
        <f>MAPA!B273</f>
        <v>0</v>
      </c>
      <c r="C293" s="11">
        <f>MAPA!D273</f>
        <v>0</v>
      </c>
      <c r="D293" s="11">
        <f>MAPA!E273</f>
        <v>0</v>
      </c>
      <c r="E293" s="11">
        <f>MAPA!F273</f>
        <v>0</v>
      </c>
      <c r="F293" s="20"/>
      <c r="G293" s="20"/>
    </row>
    <row r="294" spans="1:7" s="88" customFormat="1" ht="18" hidden="1" customHeight="1" x14ac:dyDescent="0.25">
      <c r="A294" s="122" t="s">
        <v>119</v>
      </c>
      <c r="B294" s="22">
        <f>MAPA!B274</f>
        <v>0</v>
      </c>
      <c r="C294" s="11">
        <f>MAPA!D274</f>
        <v>0</v>
      </c>
      <c r="D294" s="11">
        <f>MAPA!E274</f>
        <v>0</v>
      </c>
      <c r="E294" s="11">
        <f>MAPA!F274</f>
        <v>0</v>
      </c>
      <c r="F294" s="20"/>
      <c r="G294" s="20"/>
    </row>
    <row r="295" spans="1:7" s="88" customFormat="1" ht="18" hidden="1" customHeight="1" x14ac:dyDescent="0.25">
      <c r="A295" s="122" t="s">
        <v>120</v>
      </c>
      <c r="B295" s="22">
        <f>MAPA!B275</f>
        <v>0</v>
      </c>
      <c r="C295" s="11">
        <f>MAPA!D275</f>
        <v>0</v>
      </c>
      <c r="D295" s="11">
        <f>MAPA!E275</f>
        <v>0</v>
      </c>
      <c r="E295" s="11">
        <f>MAPA!F275</f>
        <v>0</v>
      </c>
      <c r="F295" s="20"/>
      <c r="G295" s="20"/>
    </row>
    <row r="296" spans="1:7" s="88" customFormat="1" ht="18" customHeight="1" x14ac:dyDescent="0.25">
      <c r="F296" s="20"/>
      <c r="G296" s="20"/>
    </row>
    <row r="297" spans="1:7" s="88" customFormat="1" ht="18" customHeight="1" x14ac:dyDescent="0.25">
      <c r="F297" s="20"/>
      <c r="G297" s="20"/>
    </row>
    <row r="298" spans="1:7" s="88" customFormat="1" ht="18" customHeight="1" x14ac:dyDescent="0.25">
      <c r="F298" s="20"/>
      <c r="G298" s="20"/>
    </row>
  </sheetData>
  <sheetProtection autoFilter="0"/>
  <protectedRanges>
    <protectedRange sqref="D4:D21" name="Intervalo1"/>
  </protectedRanges>
  <autoFilter ref="A24:E295">
    <filterColumn colId="4">
      <filters>
        <filter val="FORTINI (20,3%)"/>
      </filters>
    </filterColumn>
  </autoFilter>
  <mergeCells count="3">
    <mergeCell ref="B2:I2"/>
    <mergeCell ref="B1:I1"/>
    <mergeCell ref="A1:A21"/>
  </mergeCells>
  <pageMargins left="0.511811024" right="0.511811024" top="0.78740157499999996" bottom="0.78740157499999996" header="0.31496062000000002" footer="0.31496062000000002"/>
  <pageSetup paperSize="9" orientation="landscape" r:id="rId1"/>
  <ignoredErrors>
    <ignoredError sqref="B78 B96:B106 B89:B95 B80:B87" unlockedFormula="1"/>
    <ignoredError sqref="G9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DE9F6"/>
  </sheetPr>
  <dimension ref="A1:K54"/>
  <sheetViews>
    <sheetView topLeftCell="A17" zoomScaleNormal="100" workbookViewId="0">
      <selection activeCell="H55" sqref="H55"/>
    </sheetView>
  </sheetViews>
  <sheetFormatPr defaultRowHeight="12.75" x14ac:dyDescent="0.2"/>
  <cols>
    <col min="1" max="2" width="9.140625" style="25"/>
    <col min="3" max="3" width="6.7109375" style="25" customWidth="1"/>
    <col min="4" max="4" width="6.42578125" style="25" customWidth="1"/>
    <col min="5" max="5" width="13.7109375" style="25" customWidth="1"/>
    <col min="6" max="6" width="2.28515625" style="25" customWidth="1"/>
    <col min="7" max="8" width="9.140625" style="25"/>
    <col min="9" max="9" width="6.7109375" style="25" customWidth="1"/>
    <col min="10" max="10" width="9.140625" style="25"/>
    <col min="11" max="11" width="13.7109375" style="25" customWidth="1"/>
    <col min="12" max="16384" width="9.140625" style="25"/>
  </cols>
  <sheetData>
    <row r="1" spans="1:11" ht="20.25" customHeight="1" thickBot="1" x14ac:dyDescent="0.25">
      <c r="A1" s="225" t="s">
        <v>141</v>
      </c>
      <c r="B1" s="226"/>
      <c r="C1" s="226"/>
      <c r="D1" s="226"/>
      <c r="E1" s="226"/>
      <c r="F1" s="226"/>
      <c r="G1" s="226"/>
      <c r="H1" s="226"/>
      <c r="I1" s="226"/>
      <c r="J1" s="226"/>
      <c r="K1" s="227"/>
    </row>
    <row r="2" spans="1:11" s="29" customFormat="1" ht="9.9499999999999993" customHeight="1" x14ac:dyDescent="0.2">
      <c r="A2" s="40" t="s">
        <v>132</v>
      </c>
      <c r="B2" s="41">
        <f>MAPA!A8</f>
        <v>4001</v>
      </c>
      <c r="C2" s="24"/>
      <c r="D2" s="42"/>
      <c r="E2" s="31"/>
      <c r="G2" s="40" t="s">
        <v>132</v>
      </c>
      <c r="H2" s="41">
        <f>MAPA!A9</f>
        <v>4002</v>
      </c>
      <c r="I2" s="24"/>
      <c r="J2" s="42"/>
      <c r="K2" s="31"/>
    </row>
    <row r="3" spans="1:11" s="29" customFormat="1" ht="9.9499999999999993" customHeight="1" x14ac:dyDescent="0.2">
      <c r="A3" s="40" t="s">
        <v>133</v>
      </c>
      <c r="B3" s="41" t="str">
        <f>MAPA!B8</f>
        <v>OTAVIO DA SILVEIRA LEMOS,6M</v>
      </c>
      <c r="C3" s="24"/>
      <c r="D3" s="24"/>
      <c r="E3" s="31"/>
      <c r="G3" s="40" t="s">
        <v>133</v>
      </c>
      <c r="H3" s="41" t="str">
        <f>MAPA!B9</f>
        <v>BEATRIZ RUAS DA SILVA, 1A11M</v>
      </c>
      <c r="I3" s="24"/>
      <c r="J3" s="24"/>
      <c r="K3" s="31"/>
    </row>
    <row r="4" spans="1:11" s="29" customFormat="1" ht="9.9499999999999993" customHeight="1" x14ac:dyDescent="0.2">
      <c r="A4" s="43">
        <f>MAPA!D8</f>
        <v>120</v>
      </c>
      <c r="B4" s="44" t="s">
        <v>134</v>
      </c>
      <c r="C4" s="45" t="s">
        <v>135</v>
      </c>
      <c r="D4" s="44" t="str">
        <f>MAPA!C8</f>
        <v>SNE</v>
      </c>
      <c r="E4" s="31" t="str">
        <f>MAPA!G8</f>
        <v>3/3H</v>
      </c>
      <c r="G4" s="43">
        <f>MAPA!D9</f>
        <v>90</v>
      </c>
      <c r="H4" s="44" t="s">
        <v>134</v>
      </c>
      <c r="I4" s="45" t="s">
        <v>135</v>
      </c>
      <c r="J4" s="44" t="str">
        <f>MAPA!C9</f>
        <v>SNE</v>
      </c>
      <c r="K4" s="31" t="str">
        <f>MAPA!G9</f>
        <v>3/3H</v>
      </c>
    </row>
    <row r="5" spans="1:11" s="29" customFormat="1" ht="9.9499999999999993" customHeight="1" x14ac:dyDescent="0.2">
      <c r="A5" s="46">
        <f>MAPA!E8</f>
        <v>0</v>
      </c>
      <c r="B5" s="44" t="str">
        <f>MAPA!F8</f>
        <v>FL HIDROLISADA (15,9%)</v>
      </c>
      <c r="C5" s="24"/>
      <c r="D5" s="24"/>
      <c r="E5" s="31"/>
      <c r="G5" s="46">
        <f>MAPA!E9</f>
        <v>0</v>
      </c>
      <c r="H5" s="44" t="str">
        <f>MAPA!F9</f>
        <v>FORTINI</v>
      </c>
      <c r="I5" s="24"/>
      <c r="J5" s="24"/>
      <c r="K5" s="31"/>
    </row>
    <row r="6" spans="1:11" s="38" customFormat="1" ht="9.9499999999999993" customHeight="1" thickBot="1" x14ac:dyDescent="0.25">
      <c r="A6" s="35" t="s">
        <v>137</v>
      </c>
      <c r="B6" s="36" t="s">
        <v>140</v>
      </c>
      <c r="C6" s="36"/>
      <c r="D6" s="36"/>
      <c r="E6" s="37"/>
      <c r="G6" s="35" t="s">
        <v>137</v>
      </c>
      <c r="H6" s="36" t="s">
        <v>140</v>
      </c>
      <c r="I6" s="36"/>
      <c r="J6" s="36"/>
      <c r="K6" s="37"/>
    </row>
    <row r="7" spans="1:11" s="29" customFormat="1" ht="9.9499999999999993" customHeight="1" x14ac:dyDescent="0.2">
      <c r="A7" s="232" t="s">
        <v>136</v>
      </c>
      <c r="B7" s="233"/>
      <c r="C7" s="228" t="str">
        <f>MAPA!A4</f>
        <v xml:space="preserve">DATA : 10/10/2019   </v>
      </c>
      <c r="D7" s="228"/>
      <c r="E7" s="39"/>
      <c r="G7" s="232" t="s">
        <v>136</v>
      </c>
      <c r="H7" s="233"/>
      <c r="I7" s="228" t="str">
        <f>MAPA!A4</f>
        <v xml:space="preserve">DATA : 10/10/2019   </v>
      </c>
      <c r="J7" s="228"/>
      <c r="K7" s="39"/>
    </row>
    <row r="8" spans="1:11" s="29" customFormat="1" ht="9.9499999999999993" customHeight="1" x14ac:dyDescent="0.2">
      <c r="A8" s="229" t="s">
        <v>150</v>
      </c>
      <c r="B8" s="230"/>
      <c r="C8" s="230"/>
      <c r="D8" s="230"/>
      <c r="E8" s="231"/>
      <c r="G8" s="229" t="s">
        <v>150</v>
      </c>
      <c r="H8" s="230"/>
      <c r="I8" s="230"/>
      <c r="J8" s="230"/>
      <c r="K8" s="231"/>
    </row>
    <row r="9" spans="1:11" s="34" customFormat="1" ht="9" customHeight="1" x14ac:dyDescent="0.25">
      <c r="A9" s="47" t="s">
        <v>178</v>
      </c>
      <c r="B9" s="48"/>
      <c r="C9" s="48"/>
      <c r="D9" s="48"/>
      <c r="E9" s="61" t="s">
        <v>139</v>
      </c>
      <c r="F9" s="49"/>
      <c r="G9" s="47" t="s">
        <v>178</v>
      </c>
      <c r="H9" s="48"/>
      <c r="I9" s="48"/>
      <c r="J9" s="48"/>
      <c r="K9" s="61" t="s">
        <v>139</v>
      </c>
    </row>
    <row r="10" spans="1:11" s="34" customFormat="1" ht="8.1" customHeight="1" x14ac:dyDescent="0.25">
      <c r="A10" s="50" t="s">
        <v>138</v>
      </c>
      <c r="B10" s="51"/>
      <c r="C10" s="51"/>
      <c r="D10" s="51"/>
      <c r="E10" s="52"/>
      <c r="F10" s="49"/>
      <c r="G10" s="50" t="s">
        <v>138</v>
      </c>
      <c r="H10" s="51"/>
      <c r="I10" s="51"/>
      <c r="J10" s="51"/>
      <c r="K10" s="52"/>
    </row>
    <row r="11" spans="1:11" ht="9.75" customHeight="1" thickBot="1" x14ac:dyDescent="0.25">
      <c r="A11" s="26"/>
      <c r="B11" s="26"/>
      <c r="C11" s="26"/>
      <c r="D11" s="26"/>
      <c r="E11" s="26"/>
      <c r="G11" s="26"/>
      <c r="H11" s="26"/>
      <c r="I11" s="26"/>
      <c r="J11" s="26"/>
      <c r="K11" s="26"/>
    </row>
    <row r="12" spans="1:11" ht="9.9499999999999993" customHeight="1" x14ac:dyDescent="0.2">
      <c r="A12" s="53" t="s">
        <v>132</v>
      </c>
      <c r="B12" s="54">
        <f>MAPA!A10</f>
        <v>4003</v>
      </c>
      <c r="C12" s="55"/>
      <c r="D12" s="56"/>
      <c r="E12" s="57"/>
      <c r="F12" s="29"/>
      <c r="G12" s="53" t="s">
        <v>132</v>
      </c>
      <c r="H12" s="54">
        <f>MAPA!A11</f>
        <v>4004</v>
      </c>
      <c r="I12" s="55"/>
      <c r="J12" s="56"/>
      <c r="K12" s="57"/>
    </row>
    <row r="13" spans="1:11" ht="9.9499999999999993" customHeight="1" x14ac:dyDescent="0.2">
      <c r="A13" s="40" t="s">
        <v>133</v>
      </c>
      <c r="B13" s="41" t="str">
        <f>MAPA!B10</f>
        <v>ANTHONIA JULIA RANZAN  2A5M</v>
      </c>
      <c r="C13" s="24"/>
      <c r="D13" s="24"/>
      <c r="E13" s="31"/>
      <c r="F13" s="29"/>
      <c r="G13" s="40" t="s">
        <v>133</v>
      </c>
      <c r="H13" s="41" t="str">
        <f>MAPA!B11</f>
        <v>KEIVID LUAN KLAUCK 11A</v>
      </c>
      <c r="I13" s="24"/>
      <c r="J13" s="24"/>
      <c r="K13" s="31"/>
    </row>
    <row r="14" spans="1:11" ht="9.9499999999999993" customHeight="1" x14ac:dyDescent="0.2">
      <c r="A14" s="43">
        <f>MAPA!D10</f>
        <v>240</v>
      </c>
      <c r="B14" s="44" t="s">
        <v>134</v>
      </c>
      <c r="C14" s="45" t="s">
        <v>135</v>
      </c>
      <c r="D14" s="44" t="str">
        <f>MAPA!C10</f>
        <v>VO</v>
      </c>
      <c r="E14" s="31" t="str">
        <f>MAPA!G11</f>
        <v>3/3H</v>
      </c>
      <c r="F14" s="29"/>
      <c r="G14" s="43">
        <f>MAPA!D11</f>
        <v>60</v>
      </c>
      <c r="H14" s="44" t="s">
        <v>134</v>
      </c>
      <c r="I14" s="45" t="s">
        <v>135</v>
      </c>
      <c r="J14" s="44" t="str">
        <f>MAPA!C11</f>
        <v>SNE</v>
      </c>
      <c r="K14" s="31" t="e">
        <f>MAPA!#REF!</f>
        <v>#REF!</v>
      </c>
    </row>
    <row r="15" spans="1:11" ht="9.9499999999999993" customHeight="1" x14ac:dyDescent="0.2">
      <c r="A15" s="46">
        <f>MAPA!E10</f>
        <v>0</v>
      </c>
      <c r="B15" s="44" t="str">
        <f>MAPA!F10</f>
        <v>LV + ACHOCOLATADO</v>
      </c>
      <c r="C15" s="24"/>
      <c r="D15" s="24"/>
      <c r="E15" s="31"/>
      <c r="F15" s="29"/>
      <c r="G15" s="46">
        <f>MAPA!E11</f>
        <v>0</v>
      </c>
      <c r="H15" s="44" t="str">
        <f>MAPA!F11</f>
        <v>FL HIDROLISADA</v>
      </c>
      <c r="I15" s="24"/>
      <c r="J15" s="24"/>
      <c r="K15" s="31"/>
    </row>
    <row r="16" spans="1:11" ht="9.9499999999999993" customHeight="1" thickBot="1" x14ac:dyDescent="0.25">
      <c r="A16" s="58" t="s">
        <v>137</v>
      </c>
      <c r="B16" s="59" t="s">
        <v>149</v>
      </c>
      <c r="C16" s="59"/>
      <c r="D16" s="59"/>
      <c r="E16" s="60"/>
      <c r="F16" s="29"/>
      <c r="G16" s="58" t="s">
        <v>137</v>
      </c>
      <c r="H16" s="59" t="s">
        <v>149</v>
      </c>
      <c r="I16" s="59"/>
      <c r="J16" s="59"/>
      <c r="K16" s="60"/>
    </row>
    <row r="17" spans="1:11" s="32" customFormat="1" ht="9.9499999999999993" customHeight="1" x14ac:dyDescent="0.2">
      <c r="A17" s="232" t="s">
        <v>136</v>
      </c>
      <c r="B17" s="233"/>
      <c r="C17" s="228" t="str">
        <f>MAPA!A4</f>
        <v xml:space="preserve">DATA : 10/10/2019   </v>
      </c>
      <c r="D17" s="228"/>
      <c r="E17" s="39"/>
      <c r="F17" s="29"/>
      <c r="G17" s="232" t="s">
        <v>136</v>
      </c>
      <c r="H17" s="233"/>
      <c r="I17" s="228" t="str">
        <f>MAPA!A4</f>
        <v xml:space="preserve">DATA : 10/10/2019   </v>
      </c>
      <c r="J17" s="228"/>
      <c r="K17" s="39"/>
    </row>
    <row r="18" spans="1:11" s="32" customFormat="1" ht="9.9499999999999993" customHeight="1" x14ac:dyDescent="0.2">
      <c r="A18" s="229" t="s">
        <v>150</v>
      </c>
      <c r="B18" s="230"/>
      <c r="C18" s="230"/>
      <c r="D18" s="230"/>
      <c r="E18" s="231"/>
      <c r="F18" s="29"/>
      <c r="G18" s="229" t="s">
        <v>150</v>
      </c>
      <c r="H18" s="230"/>
      <c r="I18" s="230"/>
      <c r="J18" s="230"/>
      <c r="K18" s="231"/>
    </row>
    <row r="19" spans="1:11" s="34" customFormat="1" ht="9" customHeight="1" x14ac:dyDescent="0.25">
      <c r="A19" s="47" t="s">
        <v>178</v>
      </c>
      <c r="B19" s="48"/>
      <c r="C19" s="48"/>
      <c r="D19" s="48"/>
      <c r="E19" s="61" t="s">
        <v>139</v>
      </c>
      <c r="F19" s="49"/>
      <c r="G19" s="47" t="s">
        <v>178</v>
      </c>
      <c r="H19" s="48"/>
      <c r="I19" s="48"/>
      <c r="J19" s="48"/>
      <c r="K19" s="61" t="s">
        <v>139</v>
      </c>
    </row>
    <row r="20" spans="1:11" s="34" customFormat="1" ht="8.1" customHeight="1" x14ac:dyDescent="0.25">
      <c r="A20" s="50" t="s">
        <v>138</v>
      </c>
      <c r="B20" s="51"/>
      <c r="C20" s="51"/>
      <c r="D20" s="51"/>
      <c r="E20" s="52"/>
      <c r="F20" s="49"/>
      <c r="G20" s="50" t="s">
        <v>138</v>
      </c>
      <c r="H20" s="51"/>
      <c r="I20" s="51"/>
      <c r="J20" s="51"/>
      <c r="K20" s="52"/>
    </row>
    <row r="21" spans="1:11" s="34" customFormat="1" ht="8.1" customHeight="1" x14ac:dyDescent="0.25">
      <c r="B21" s="33"/>
      <c r="C21" s="33"/>
      <c r="D21" s="33"/>
      <c r="E21" s="33"/>
      <c r="G21" s="33"/>
      <c r="H21" s="33"/>
      <c r="I21" s="33"/>
      <c r="J21" s="33"/>
      <c r="K21" s="33"/>
    </row>
    <row r="22" spans="1:11" ht="8.25" customHeight="1" thickBot="1" x14ac:dyDescent="0.25">
      <c r="A22" s="26"/>
      <c r="B22" s="26"/>
      <c r="C22" s="26"/>
      <c r="D22" s="26"/>
      <c r="E22" s="26"/>
      <c r="G22" s="26"/>
      <c r="H22" s="26"/>
      <c r="I22" s="26"/>
      <c r="J22" s="26"/>
      <c r="K22" s="26"/>
    </row>
    <row r="23" spans="1:11" ht="9.75" customHeight="1" x14ac:dyDescent="0.2">
      <c r="A23" s="53" t="s">
        <v>132</v>
      </c>
      <c r="B23" s="54">
        <f>MAPA!A12</f>
        <v>4005</v>
      </c>
      <c r="C23" s="55"/>
      <c r="D23" s="56"/>
      <c r="E23" s="57"/>
      <c r="F23" s="29"/>
      <c r="G23" s="53" t="s">
        <v>132</v>
      </c>
      <c r="H23" s="54">
        <f>MAPA!A13</f>
        <v>4006</v>
      </c>
      <c r="I23" s="55"/>
      <c r="J23" s="56"/>
      <c r="K23" s="57"/>
    </row>
    <row r="24" spans="1:11" ht="9.75" customHeight="1" x14ac:dyDescent="0.2">
      <c r="A24" s="40" t="s">
        <v>133</v>
      </c>
      <c r="B24" s="41" t="str">
        <f>MAPA!B12</f>
        <v>BIANCA GABRIELLY MACHADO, 6M</v>
      </c>
      <c r="C24" s="24"/>
      <c r="D24" s="24"/>
      <c r="E24" s="31"/>
      <c r="F24" s="29"/>
      <c r="G24" s="40" t="s">
        <v>133</v>
      </c>
      <c r="H24" s="41">
        <f>MAPA!B13</f>
        <v>0</v>
      </c>
      <c r="I24" s="24"/>
      <c r="J24" s="24"/>
      <c r="K24" s="31"/>
    </row>
    <row r="25" spans="1:11" ht="9.75" customHeight="1" x14ac:dyDescent="0.2">
      <c r="A25" s="43">
        <f>MAPA!D12</f>
        <v>70</v>
      </c>
      <c r="B25" s="44" t="s">
        <v>134</v>
      </c>
      <c r="C25" s="45" t="s">
        <v>135</v>
      </c>
      <c r="D25" s="44" t="str">
        <f>MAPA!C12</f>
        <v>SNE</v>
      </c>
      <c r="E25" s="31" t="str">
        <f>MAPA!G12</f>
        <v>3/3H</v>
      </c>
      <c r="F25" s="29"/>
      <c r="G25" s="43">
        <f>MAPA!D13</f>
        <v>0</v>
      </c>
      <c r="H25" s="44" t="s">
        <v>134</v>
      </c>
      <c r="I25" s="45" t="s">
        <v>135</v>
      </c>
      <c r="J25" s="44">
        <f>MAPA!C13</f>
        <v>0</v>
      </c>
      <c r="K25" s="31">
        <f>MAPA!G13</f>
        <v>0</v>
      </c>
    </row>
    <row r="26" spans="1:11" ht="9.75" customHeight="1" x14ac:dyDescent="0.2">
      <c r="A26" s="46">
        <f>MAPA!E12</f>
        <v>0</v>
      </c>
      <c r="B26" s="44" t="str">
        <f>MAPA!F12</f>
        <v>FL 1º SEMESTRE</v>
      </c>
      <c r="C26" s="24"/>
      <c r="D26" s="24"/>
      <c r="E26" s="31"/>
      <c r="F26" s="29"/>
      <c r="G26" s="46">
        <f>MAPA!E13</f>
        <v>0</v>
      </c>
      <c r="H26" s="44">
        <f>MAPA!F13</f>
        <v>0</v>
      </c>
      <c r="I26" s="24"/>
      <c r="J26" s="24"/>
      <c r="K26" s="31"/>
    </row>
    <row r="27" spans="1:11" ht="9.75" customHeight="1" thickBot="1" x14ac:dyDescent="0.25">
      <c r="A27" s="58" t="s">
        <v>137</v>
      </c>
      <c r="B27" s="59" t="s">
        <v>149</v>
      </c>
      <c r="C27" s="59"/>
      <c r="D27" s="59"/>
      <c r="E27" s="60"/>
      <c r="F27" s="29"/>
      <c r="G27" s="58" t="s">
        <v>137</v>
      </c>
      <c r="H27" s="59" t="s">
        <v>149</v>
      </c>
      <c r="I27" s="59"/>
      <c r="J27" s="59"/>
      <c r="K27" s="60"/>
    </row>
    <row r="28" spans="1:11" s="32" customFormat="1" ht="9.75" customHeight="1" x14ac:dyDescent="0.2">
      <c r="A28" s="232" t="s">
        <v>136</v>
      </c>
      <c r="B28" s="233"/>
      <c r="C28" s="228" t="str">
        <f>MAPA!A4</f>
        <v xml:space="preserve">DATA : 10/10/2019   </v>
      </c>
      <c r="D28" s="228"/>
      <c r="E28" s="39"/>
      <c r="F28" s="29"/>
      <c r="G28" s="232" t="s">
        <v>136</v>
      </c>
      <c r="H28" s="233"/>
      <c r="I28" s="228" t="str">
        <f>MAPA!A4</f>
        <v xml:space="preserve">DATA : 10/10/2019   </v>
      </c>
      <c r="J28" s="228"/>
      <c r="K28" s="39"/>
    </row>
    <row r="29" spans="1:11" s="32" customFormat="1" ht="9.75" customHeight="1" x14ac:dyDescent="0.2">
      <c r="A29" s="229" t="s">
        <v>150</v>
      </c>
      <c r="B29" s="230"/>
      <c r="C29" s="230"/>
      <c r="D29" s="230"/>
      <c r="E29" s="231"/>
      <c r="F29" s="29"/>
      <c r="G29" s="229" t="s">
        <v>150</v>
      </c>
      <c r="H29" s="230"/>
      <c r="I29" s="230"/>
      <c r="J29" s="230"/>
      <c r="K29" s="231"/>
    </row>
    <row r="30" spans="1:11" s="62" customFormat="1" ht="9.9499999999999993" customHeight="1" x14ac:dyDescent="0.25">
      <c r="A30" s="47" t="s">
        <v>178</v>
      </c>
      <c r="B30" s="48"/>
      <c r="C30" s="48"/>
      <c r="D30" s="48"/>
      <c r="E30" s="61" t="s">
        <v>139</v>
      </c>
      <c r="F30" s="49"/>
      <c r="G30" s="47" t="s">
        <v>178</v>
      </c>
      <c r="H30" s="48"/>
      <c r="I30" s="48"/>
      <c r="J30" s="48"/>
      <c r="K30" s="61" t="s">
        <v>139</v>
      </c>
    </row>
    <row r="31" spans="1:11" s="62" customFormat="1" ht="9.9499999999999993" customHeight="1" x14ac:dyDescent="0.25">
      <c r="A31" s="50" t="s">
        <v>138</v>
      </c>
      <c r="B31" s="51"/>
      <c r="C31" s="51"/>
      <c r="D31" s="51"/>
      <c r="E31" s="52"/>
      <c r="F31" s="49"/>
      <c r="G31" s="50" t="s">
        <v>138</v>
      </c>
      <c r="H31" s="51"/>
      <c r="I31" s="51"/>
      <c r="J31" s="51"/>
      <c r="K31" s="52"/>
    </row>
    <row r="32" spans="1:11" s="29" customFormat="1" ht="9.9499999999999993" customHeight="1" x14ac:dyDescent="0.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1" ht="10.5" customHeight="1" thickBot="1" x14ac:dyDescent="0.25">
      <c r="A33" s="24"/>
      <c r="B33" s="24"/>
      <c r="C33" s="24"/>
      <c r="D33" s="24"/>
      <c r="E33" s="24"/>
      <c r="F33" s="29"/>
      <c r="G33" s="24"/>
      <c r="H33" s="24"/>
      <c r="I33" s="24"/>
      <c r="J33" s="24"/>
      <c r="K33" s="24"/>
    </row>
    <row r="34" spans="1:11" ht="9.75" customHeight="1" x14ac:dyDescent="0.2">
      <c r="A34" s="53" t="s">
        <v>132</v>
      </c>
      <c r="B34" s="54">
        <f>MAPA!A14</f>
        <v>4007</v>
      </c>
      <c r="C34" s="55"/>
      <c r="D34" s="56"/>
      <c r="E34" s="57"/>
      <c r="F34" s="29"/>
      <c r="G34" s="53" t="s">
        <v>132</v>
      </c>
      <c r="H34" s="54">
        <f>MAPA!A15</f>
        <v>4008</v>
      </c>
      <c r="I34" s="55"/>
      <c r="J34" s="56"/>
      <c r="K34" s="57"/>
    </row>
    <row r="35" spans="1:11" ht="9.75" customHeight="1" x14ac:dyDescent="0.2">
      <c r="A35" s="40" t="s">
        <v>133</v>
      </c>
      <c r="B35" s="41">
        <f>MAPA!B14</f>
        <v>0</v>
      </c>
      <c r="C35" s="24"/>
      <c r="D35" s="24"/>
      <c r="E35" s="31"/>
      <c r="F35" s="29"/>
      <c r="G35" s="40" t="s">
        <v>133</v>
      </c>
      <c r="H35" s="41" t="str">
        <f>MAPA!B15</f>
        <v>MARIA FLORÊNCIA A. M. DUARTE, 2A3M</v>
      </c>
      <c r="I35" s="24"/>
      <c r="J35" s="24"/>
      <c r="K35" s="31"/>
    </row>
    <row r="36" spans="1:11" ht="9.75" customHeight="1" x14ac:dyDescent="0.2">
      <c r="A36" s="43">
        <f>MAPA!D14</f>
        <v>0</v>
      </c>
      <c r="B36" s="44" t="s">
        <v>134</v>
      </c>
      <c r="C36" s="45" t="s">
        <v>135</v>
      </c>
      <c r="D36" s="44">
        <f>MAPA!C14</f>
        <v>0</v>
      </c>
      <c r="E36" s="31">
        <f>MAPA!G14</f>
        <v>0</v>
      </c>
      <c r="F36" s="29"/>
      <c r="G36" s="43">
        <f>MAPA!D15</f>
        <v>100</v>
      </c>
      <c r="H36" s="44" t="s">
        <v>134</v>
      </c>
      <c r="I36" s="45" t="s">
        <v>135</v>
      </c>
      <c r="J36" s="44" t="str">
        <f>MAPA!C15</f>
        <v>SNE</v>
      </c>
      <c r="K36" s="31" t="str">
        <f>MAPA!G15</f>
        <v>3/3H</v>
      </c>
    </row>
    <row r="37" spans="1:11" ht="9.75" customHeight="1" x14ac:dyDescent="0.2">
      <c r="A37" s="46">
        <f>MAPA!E14</f>
        <v>0</v>
      </c>
      <c r="B37" s="44">
        <f>MAPA!F14</f>
        <v>0</v>
      </c>
      <c r="C37" s="24"/>
      <c r="D37" s="24"/>
      <c r="E37" s="31"/>
      <c r="F37" s="29"/>
      <c r="G37" s="46" t="str">
        <f>MAPA!E15</f>
        <v>-</v>
      </c>
      <c r="H37" s="44" t="str">
        <f>MAPA!F15</f>
        <v>FORTINI</v>
      </c>
      <c r="I37" s="24"/>
      <c r="J37" s="24"/>
      <c r="K37" s="31"/>
    </row>
    <row r="38" spans="1:11" ht="9.75" customHeight="1" thickBot="1" x14ac:dyDescent="0.25">
      <c r="A38" s="58" t="s">
        <v>137</v>
      </c>
      <c r="B38" s="59" t="s">
        <v>149</v>
      </c>
      <c r="C38" s="59"/>
      <c r="D38" s="59"/>
      <c r="E38" s="60"/>
      <c r="F38" s="29"/>
      <c r="G38" s="58" t="s">
        <v>137</v>
      </c>
      <c r="H38" s="59" t="s">
        <v>149</v>
      </c>
      <c r="I38" s="59"/>
      <c r="J38" s="59"/>
      <c r="K38" s="60"/>
    </row>
    <row r="39" spans="1:11" s="32" customFormat="1" ht="9.75" customHeight="1" x14ac:dyDescent="0.2">
      <c r="A39" s="232" t="s">
        <v>136</v>
      </c>
      <c r="B39" s="233"/>
      <c r="C39" s="228" t="str">
        <f>MAPA!A4</f>
        <v xml:space="preserve">DATA : 10/10/2019   </v>
      </c>
      <c r="D39" s="228"/>
      <c r="E39" s="39"/>
      <c r="F39" s="29"/>
      <c r="G39" s="232" t="s">
        <v>136</v>
      </c>
      <c r="H39" s="233"/>
      <c r="I39" s="228" t="str">
        <f>MAPA!A4</f>
        <v xml:space="preserve">DATA : 10/10/2019   </v>
      </c>
      <c r="J39" s="228"/>
      <c r="K39" s="39"/>
    </row>
    <row r="40" spans="1:11" s="32" customFormat="1" ht="9" customHeight="1" x14ac:dyDescent="0.2">
      <c r="A40" s="229" t="s">
        <v>150</v>
      </c>
      <c r="B40" s="230"/>
      <c r="C40" s="230"/>
      <c r="D40" s="230"/>
      <c r="E40" s="231"/>
      <c r="F40" s="29"/>
      <c r="G40" s="229" t="s">
        <v>150</v>
      </c>
      <c r="H40" s="230"/>
      <c r="I40" s="230"/>
      <c r="J40" s="230"/>
      <c r="K40" s="231"/>
    </row>
    <row r="41" spans="1:11" s="63" customFormat="1" ht="9.9499999999999993" customHeight="1" x14ac:dyDescent="0.25">
      <c r="A41" s="47" t="s">
        <v>178</v>
      </c>
      <c r="B41" s="48"/>
      <c r="C41" s="48"/>
      <c r="D41" s="48"/>
      <c r="E41" s="61" t="s">
        <v>139</v>
      </c>
      <c r="F41" s="49"/>
      <c r="G41" s="47" t="s">
        <v>178</v>
      </c>
      <c r="H41" s="48"/>
      <c r="I41" s="48"/>
      <c r="J41" s="48"/>
      <c r="K41" s="61" t="s">
        <v>139</v>
      </c>
    </row>
    <row r="42" spans="1:11" s="63" customFormat="1" ht="9.9499999999999993" customHeight="1" x14ac:dyDescent="0.25">
      <c r="A42" s="50" t="s">
        <v>138</v>
      </c>
      <c r="B42" s="51"/>
      <c r="C42" s="51"/>
      <c r="D42" s="51"/>
      <c r="E42" s="52"/>
      <c r="F42" s="49"/>
      <c r="G42" s="50" t="s">
        <v>138</v>
      </c>
      <c r="H42" s="51"/>
      <c r="I42" s="51"/>
      <c r="J42" s="51"/>
      <c r="K42" s="52"/>
    </row>
    <row r="43" spans="1:11" s="24" customFormat="1" ht="9.9499999999999993" customHeight="1" x14ac:dyDescent="0.2"/>
    <row r="44" spans="1:11" ht="9.9499999999999993" customHeight="1" thickBot="1" x14ac:dyDescent="0.25">
      <c r="A44" s="24"/>
      <c r="B44" s="24"/>
      <c r="C44" s="24"/>
      <c r="D44" s="24"/>
      <c r="E44" s="24"/>
      <c r="F44" s="29"/>
      <c r="G44" s="24"/>
      <c r="H44" s="24"/>
      <c r="I44" s="24"/>
      <c r="J44" s="24"/>
      <c r="K44" s="24"/>
    </row>
    <row r="45" spans="1:11" ht="9.75" customHeight="1" x14ac:dyDescent="0.2">
      <c r="A45" s="53" t="s">
        <v>132</v>
      </c>
      <c r="B45" s="54">
        <f>MAPA!A16</f>
        <v>4009</v>
      </c>
      <c r="C45" s="55"/>
      <c r="D45" s="56"/>
      <c r="E45" s="57"/>
      <c r="F45" s="29"/>
      <c r="G45" s="53" t="s">
        <v>132</v>
      </c>
      <c r="H45" s="54">
        <f>MAPA!A17</f>
        <v>4010</v>
      </c>
      <c r="I45" s="55"/>
      <c r="J45" s="56"/>
      <c r="K45" s="57"/>
    </row>
    <row r="46" spans="1:11" ht="9.75" customHeight="1" x14ac:dyDescent="0.2">
      <c r="A46" s="40" t="s">
        <v>133</v>
      </c>
      <c r="B46" s="41">
        <f>MAPA!B16</f>
        <v>0</v>
      </c>
      <c r="C46" s="24"/>
      <c r="D46" s="24"/>
      <c r="E46" s="31"/>
      <c r="F46" s="29"/>
      <c r="G46" s="40" t="s">
        <v>133</v>
      </c>
      <c r="H46" s="41" t="str">
        <f>MAPA!B17</f>
        <v>ALICE MANUELLA DORNELES, 8M</v>
      </c>
      <c r="I46" s="24"/>
      <c r="J46" s="24"/>
      <c r="K46" s="31"/>
    </row>
    <row r="47" spans="1:11" ht="9.75" customHeight="1" x14ac:dyDescent="0.2">
      <c r="A47" s="43">
        <f>MAPA!D16</f>
        <v>0</v>
      </c>
      <c r="B47" s="44" t="s">
        <v>134</v>
      </c>
      <c r="C47" s="45" t="s">
        <v>135</v>
      </c>
      <c r="D47" s="44">
        <f>MAPA!C16</f>
        <v>0</v>
      </c>
      <c r="E47" s="31">
        <f>MAPA!G16</f>
        <v>0</v>
      </c>
      <c r="F47" s="29"/>
      <c r="G47" s="43">
        <f>MAPA!D17</f>
        <v>140</v>
      </c>
      <c r="H47" s="44" t="s">
        <v>134</v>
      </c>
      <c r="I47" s="45" t="s">
        <v>135</v>
      </c>
      <c r="J47" s="44" t="str">
        <f>MAPA!C17</f>
        <v>SNE</v>
      </c>
      <c r="K47" s="31" t="str">
        <f>MAPA!G17</f>
        <v>3/3H</v>
      </c>
    </row>
    <row r="48" spans="1:11" ht="9.75" customHeight="1" x14ac:dyDescent="0.2">
      <c r="A48" s="46">
        <f>MAPA!E16</f>
        <v>0</v>
      </c>
      <c r="B48" s="44">
        <f>MAPA!F16</f>
        <v>0</v>
      </c>
      <c r="C48" s="24"/>
      <c r="D48" s="24"/>
      <c r="E48" s="31"/>
      <c r="F48" s="29"/>
      <c r="G48" s="46">
        <f>MAPA!E17</f>
        <v>0</v>
      </c>
      <c r="H48" s="44" t="str">
        <f>MAPA!F17</f>
        <v>FL AA + MMD ROSA COMUM</v>
      </c>
      <c r="I48" s="24"/>
      <c r="J48" s="24"/>
      <c r="K48" s="31"/>
    </row>
    <row r="49" spans="1:11" ht="9.75" customHeight="1" thickBot="1" x14ac:dyDescent="0.25">
      <c r="A49" s="58" t="s">
        <v>137</v>
      </c>
      <c r="B49" s="59" t="s">
        <v>149</v>
      </c>
      <c r="C49" s="59"/>
      <c r="D49" s="59"/>
      <c r="E49" s="60"/>
      <c r="F49" s="29"/>
      <c r="G49" s="58" t="s">
        <v>137</v>
      </c>
      <c r="H49" s="59" t="s">
        <v>149</v>
      </c>
      <c r="I49" s="59"/>
      <c r="J49" s="59"/>
      <c r="K49" s="60"/>
    </row>
    <row r="50" spans="1:11" s="32" customFormat="1" ht="9.75" customHeight="1" x14ac:dyDescent="0.2">
      <c r="A50" s="232" t="s">
        <v>136</v>
      </c>
      <c r="B50" s="233"/>
      <c r="C50" s="228" t="str">
        <f>MAPA!A4</f>
        <v xml:space="preserve">DATA : 10/10/2019   </v>
      </c>
      <c r="D50" s="228"/>
      <c r="E50" s="39"/>
      <c r="F50" s="29"/>
      <c r="G50" s="232" t="s">
        <v>136</v>
      </c>
      <c r="H50" s="233"/>
      <c r="I50" s="228" t="str">
        <f>MAPA!A4</f>
        <v xml:space="preserve">DATA : 10/10/2019   </v>
      </c>
      <c r="J50" s="228"/>
      <c r="K50" s="39"/>
    </row>
    <row r="51" spans="1:11" s="32" customFormat="1" ht="9.75" customHeight="1" x14ac:dyDescent="0.2">
      <c r="A51" s="229" t="s">
        <v>150</v>
      </c>
      <c r="B51" s="230"/>
      <c r="C51" s="230"/>
      <c r="D51" s="230"/>
      <c r="E51" s="231"/>
      <c r="F51" s="29"/>
      <c r="G51" s="229" t="s">
        <v>150</v>
      </c>
      <c r="H51" s="230"/>
      <c r="I51" s="230"/>
      <c r="J51" s="230"/>
      <c r="K51" s="231"/>
    </row>
    <row r="52" spans="1:11" s="63" customFormat="1" ht="9.9499999999999993" customHeight="1" x14ac:dyDescent="0.25">
      <c r="A52" s="47" t="s">
        <v>178</v>
      </c>
      <c r="B52" s="48"/>
      <c r="C52" s="48"/>
      <c r="D52" s="48"/>
      <c r="E52" s="61" t="s">
        <v>139</v>
      </c>
      <c r="F52" s="49"/>
      <c r="G52" s="47" t="s">
        <v>178</v>
      </c>
      <c r="H52" s="48"/>
      <c r="I52" s="48"/>
      <c r="J52" s="48"/>
      <c r="K52" s="61" t="s">
        <v>139</v>
      </c>
    </row>
    <row r="53" spans="1:11" s="63" customFormat="1" ht="9.9499999999999993" customHeight="1" x14ac:dyDescent="0.25">
      <c r="A53" s="50" t="s">
        <v>138</v>
      </c>
      <c r="B53" s="51"/>
      <c r="C53" s="51"/>
      <c r="D53" s="51"/>
      <c r="E53" s="52"/>
      <c r="F53" s="49"/>
      <c r="G53" s="50" t="s">
        <v>138</v>
      </c>
      <c r="H53" s="51"/>
      <c r="I53" s="51"/>
      <c r="J53" s="51"/>
      <c r="K53" s="52"/>
    </row>
    <row r="54" spans="1:11" s="24" customFormat="1" ht="9.9499999999999993" customHeight="1" x14ac:dyDescent="0.2"/>
  </sheetData>
  <sheetProtection password="8FAA" sheet="1" objects="1" scenarios="1"/>
  <mergeCells count="31">
    <mergeCell ref="A50:B50"/>
    <mergeCell ref="C50:D50"/>
    <mergeCell ref="G50:H50"/>
    <mergeCell ref="I50:J50"/>
    <mergeCell ref="A51:E51"/>
    <mergeCell ref="G51:K51"/>
    <mergeCell ref="C39:D39"/>
    <mergeCell ref="I39:J39"/>
    <mergeCell ref="A40:E40"/>
    <mergeCell ref="G40:K40"/>
    <mergeCell ref="A7:B7"/>
    <mergeCell ref="G7:H7"/>
    <mergeCell ref="A17:B17"/>
    <mergeCell ref="G17:H17"/>
    <mergeCell ref="A28:B28"/>
    <mergeCell ref="G28:H28"/>
    <mergeCell ref="A39:B39"/>
    <mergeCell ref="G39:H39"/>
    <mergeCell ref="A29:E29"/>
    <mergeCell ref="I28:J28"/>
    <mergeCell ref="G29:K29"/>
    <mergeCell ref="C17:D17"/>
    <mergeCell ref="A1:K1"/>
    <mergeCell ref="I17:J17"/>
    <mergeCell ref="A18:E18"/>
    <mergeCell ref="G18:K18"/>
    <mergeCell ref="C28:D28"/>
    <mergeCell ref="C7:D7"/>
    <mergeCell ref="A8:E8"/>
    <mergeCell ref="I7:J7"/>
    <mergeCell ref="G8:K8"/>
  </mergeCells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4"/>
  <sheetViews>
    <sheetView topLeftCell="A116" zoomScaleNormal="100" workbookViewId="0">
      <selection sqref="A1:Q153"/>
    </sheetView>
  </sheetViews>
  <sheetFormatPr defaultRowHeight="9.75" customHeight="1" x14ac:dyDescent="0.2"/>
  <cols>
    <col min="1" max="2" width="9.140625" style="25"/>
    <col min="3" max="3" width="6.7109375" style="25" customWidth="1"/>
    <col min="4" max="4" width="6.42578125" style="25" customWidth="1"/>
    <col min="5" max="5" width="13.7109375" style="25" customWidth="1"/>
    <col min="6" max="6" width="2.28515625" style="25" customWidth="1"/>
    <col min="7" max="8" width="9.140625" style="25"/>
    <col min="9" max="9" width="6.7109375" style="25" customWidth="1"/>
    <col min="10" max="10" width="9.140625" style="25"/>
    <col min="11" max="11" width="13.7109375" style="25" customWidth="1"/>
    <col min="12" max="12" width="2.140625" style="25" customWidth="1"/>
    <col min="13" max="16384" width="9.140625" style="25"/>
  </cols>
  <sheetData>
    <row r="1" spans="1:17" ht="18.75" customHeight="1" thickBot="1" x14ac:dyDescent="0.25">
      <c r="A1" s="225" t="s">
        <v>142</v>
      </c>
      <c r="B1" s="226"/>
      <c r="C1" s="226"/>
      <c r="D1" s="226"/>
      <c r="E1" s="226"/>
      <c r="F1" s="226"/>
      <c r="G1" s="226"/>
      <c r="H1" s="226"/>
      <c r="I1" s="226"/>
      <c r="J1" s="226"/>
      <c r="K1" s="227"/>
      <c r="L1" s="27"/>
      <c r="M1" s="238" t="s">
        <v>143</v>
      </c>
      <c r="N1" s="239"/>
      <c r="O1" s="239"/>
      <c r="P1" s="239"/>
      <c r="Q1" s="240"/>
    </row>
    <row r="2" spans="1:17" ht="9.75" customHeight="1" x14ac:dyDescent="0.2">
      <c r="A2" s="40" t="s">
        <v>132</v>
      </c>
      <c r="B2" s="41" t="str">
        <f>MAPA!A22</f>
        <v>4101 A</v>
      </c>
      <c r="C2" s="24"/>
      <c r="D2" s="42"/>
      <c r="E2" s="31"/>
      <c r="F2" s="29"/>
      <c r="G2" s="40" t="s">
        <v>132</v>
      </c>
      <c r="H2" s="41" t="str">
        <f>MAPA!A23</f>
        <v>4101 B</v>
      </c>
      <c r="I2" s="24"/>
      <c r="J2" s="42"/>
      <c r="K2" s="31"/>
      <c r="L2" s="29"/>
      <c r="M2" s="53" t="s">
        <v>132</v>
      </c>
      <c r="N2" s="54" t="str">
        <f>MAPA!A24</f>
        <v>4101 C</v>
      </c>
      <c r="O2" s="55"/>
      <c r="P2" s="56"/>
      <c r="Q2" s="57"/>
    </row>
    <row r="3" spans="1:17" ht="9.75" customHeight="1" x14ac:dyDescent="0.2">
      <c r="A3" s="40" t="s">
        <v>133</v>
      </c>
      <c r="B3" s="41" t="str">
        <f>MAPA!B22</f>
        <v>LOUISE REOLON CHUVAS, 4A</v>
      </c>
      <c r="C3" s="24"/>
      <c r="D3" s="24"/>
      <c r="E3" s="31"/>
      <c r="F3" s="29"/>
      <c r="G3" s="40" t="s">
        <v>133</v>
      </c>
      <c r="H3" s="41">
        <f>MAPA!B23</f>
        <v>0</v>
      </c>
      <c r="I3" s="24"/>
      <c r="J3" s="24"/>
      <c r="K3" s="31"/>
      <c r="L3" s="29"/>
      <c r="M3" s="40" t="s">
        <v>133</v>
      </c>
      <c r="N3" s="41">
        <f>MAPA!B24</f>
        <v>0</v>
      </c>
      <c r="O3" s="24"/>
      <c r="P3" s="24"/>
      <c r="Q3" s="31"/>
    </row>
    <row r="4" spans="1:17" ht="9.75" customHeight="1" x14ac:dyDescent="0.2">
      <c r="A4" s="43">
        <f>MAPA!D22</f>
        <v>240</v>
      </c>
      <c r="B4" s="44" t="s">
        <v>134</v>
      </c>
      <c r="C4" s="45" t="s">
        <v>135</v>
      </c>
      <c r="D4" s="44" t="str">
        <f>MAPA!C22</f>
        <v>VO</v>
      </c>
      <c r="E4" s="234" t="str">
        <f>MAPA!G22</f>
        <v>7:30-15-21H</v>
      </c>
      <c r="F4" s="29"/>
      <c r="G4" s="43">
        <f>MAPA!D23</f>
        <v>0</v>
      </c>
      <c r="H4" s="44" t="s">
        <v>134</v>
      </c>
      <c r="I4" s="45" t="s">
        <v>135</v>
      </c>
      <c r="J4" s="44">
        <f>MAPA!C23</f>
        <v>0</v>
      </c>
      <c r="K4" s="235">
        <f>MAPA!G23</f>
        <v>0</v>
      </c>
      <c r="L4" s="29"/>
      <c r="M4" s="43">
        <f>MAPA!D24</f>
        <v>0</v>
      </c>
      <c r="N4" s="44" t="s">
        <v>134</v>
      </c>
      <c r="O4" s="45" t="s">
        <v>135</v>
      </c>
      <c r="P4" s="44">
        <f>MAPA!C24</f>
        <v>0</v>
      </c>
      <c r="Q4" s="31">
        <f>MAPA!G24</f>
        <v>0</v>
      </c>
    </row>
    <row r="5" spans="1:17" ht="9.75" customHeight="1" x14ac:dyDescent="0.2">
      <c r="A5" s="46">
        <f>MAPA!E22</f>
        <v>0</v>
      </c>
      <c r="B5" s="44" t="str">
        <f>MAPA!F22</f>
        <v>LV+ACHOCOLATADO</v>
      </c>
      <c r="C5" s="24"/>
      <c r="D5" s="24"/>
      <c r="E5" s="234"/>
      <c r="F5" s="29"/>
      <c r="G5" s="46">
        <f>MAPA!E23</f>
        <v>0</v>
      </c>
      <c r="H5" s="44">
        <f>MAPA!F23</f>
        <v>0</v>
      </c>
      <c r="I5" s="24"/>
      <c r="J5" s="24"/>
      <c r="K5" s="235"/>
      <c r="L5" s="29"/>
      <c r="M5" s="46">
        <f>MAPA!E24</f>
        <v>0</v>
      </c>
      <c r="N5" s="44">
        <f>MAPA!F24</f>
        <v>0</v>
      </c>
      <c r="O5" s="24"/>
      <c r="P5" s="24"/>
      <c r="Q5" s="31"/>
    </row>
    <row r="6" spans="1:17" ht="9.75" customHeight="1" thickBot="1" x14ac:dyDescent="0.25">
      <c r="A6" s="58" t="s">
        <v>137</v>
      </c>
      <c r="B6" s="59" t="s">
        <v>149</v>
      </c>
      <c r="C6" s="59"/>
      <c r="D6" s="59"/>
      <c r="E6" s="60"/>
      <c r="F6" s="29"/>
      <c r="G6" s="58" t="s">
        <v>137</v>
      </c>
      <c r="H6" s="59" t="s">
        <v>149</v>
      </c>
      <c r="I6" s="59"/>
      <c r="J6" s="59"/>
      <c r="K6" s="60"/>
      <c r="L6" s="29"/>
      <c r="M6" s="58" t="s">
        <v>137</v>
      </c>
      <c r="N6" s="59" t="s">
        <v>149</v>
      </c>
      <c r="O6" s="59"/>
      <c r="P6" s="59"/>
      <c r="Q6" s="60"/>
    </row>
    <row r="7" spans="1:17" ht="9.75" customHeight="1" x14ac:dyDescent="0.2">
      <c r="A7" s="232" t="s">
        <v>136</v>
      </c>
      <c r="B7" s="233"/>
      <c r="C7" s="228" t="str">
        <f>MAPA!A4</f>
        <v xml:space="preserve">DATA : 10/10/2019   </v>
      </c>
      <c r="D7" s="228"/>
      <c r="E7" s="39"/>
      <c r="F7" s="29"/>
      <c r="G7" s="232" t="s">
        <v>136</v>
      </c>
      <c r="H7" s="233"/>
      <c r="I7" s="228" t="str">
        <f>MAPA!A4</f>
        <v xml:space="preserve">DATA : 10/10/2019   </v>
      </c>
      <c r="J7" s="228"/>
      <c r="K7" s="39"/>
      <c r="L7" s="29"/>
      <c r="M7" s="232" t="s">
        <v>136</v>
      </c>
      <c r="N7" s="233"/>
      <c r="O7" s="228" t="str">
        <f>MAPA!A4</f>
        <v xml:space="preserve">DATA : 10/10/2019   </v>
      </c>
      <c r="P7" s="228"/>
      <c r="Q7" s="39"/>
    </row>
    <row r="8" spans="1:17" ht="9.75" customHeight="1" x14ac:dyDescent="0.2">
      <c r="A8" s="229" t="s">
        <v>150</v>
      </c>
      <c r="B8" s="230"/>
      <c r="C8" s="230"/>
      <c r="D8" s="230"/>
      <c r="E8" s="231"/>
      <c r="F8" s="29"/>
      <c r="G8" s="229" t="s">
        <v>150</v>
      </c>
      <c r="H8" s="230"/>
      <c r="I8" s="230"/>
      <c r="J8" s="230"/>
      <c r="K8" s="231"/>
      <c r="L8" s="29"/>
      <c r="M8" s="229" t="s">
        <v>150</v>
      </c>
      <c r="N8" s="230"/>
      <c r="O8" s="230"/>
      <c r="P8" s="230"/>
      <c r="Q8" s="231"/>
    </row>
    <row r="9" spans="1:17" s="34" customFormat="1" ht="9" customHeight="1" x14ac:dyDescent="0.25">
      <c r="A9" s="47" t="s">
        <v>190</v>
      </c>
      <c r="B9" s="48"/>
      <c r="C9" s="48"/>
      <c r="D9" s="48"/>
      <c r="E9" s="61" t="s">
        <v>139</v>
      </c>
      <c r="F9" s="49"/>
      <c r="G9" s="47" t="s">
        <v>190</v>
      </c>
      <c r="H9" s="48"/>
      <c r="I9" s="48"/>
      <c r="J9" s="48"/>
      <c r="K9" s="61" t="s">
        <v>139</v>
      </c>
      <c r="M9" s="47" t="s">
        <v>190</v>
      </c>
      <c r="N9" s="48"/>
      <c r="O9" s="48"/>
      <c r="P9" s="48"/>
      <c r="Q9" s="61" t="s">
        <v>139</v>
      </c>
    </row>
    <row r="10" spans="1:17" s="34" customFormat="1" ht="8.1" customHeight="1" x14ac:dyDescent="0.25">
      <c r="A10" s="50" t="s">
        <v>138</v>
      </c>
      <c r="B10" s="51"/>
      <c r="C10" s="51"/>
      <c r="D10" s="51"/>
      <c r="E10" s="52"/>
      <c r="F10" s="49"/>
      <c r="G10" s="50" t="s">
        <v>138</v>
      </c>
      <c r="H10" s="51"/>
      <c r="I10" s="51"/>
      <c r="J10" s="51"/>
      <c r="K10" s="52"/>
      <c r="M10" s="50" t="s">
        <v>138</v>
      </c>
      <c r="N10" s="51"/>
      <c r="O10" s="51"/>
      <c r="P10" s="51"/>
      <c r="Q10" s="52"/>
    </row>
    <row r="11" spans="1:17" s="24" customFormat="1" ht="9.75" customHeight="1" x14ac:dyDescent="0.2"/>
    <row r="12" spans="1:17" ht="9.75" customHeight="1" thickBot="1" x14ac:dyDescent="0.25">
      <c r="A12" s="24"/>
      <c r="B12" s="24"/>
      <c r="C12" s="24"/>
      <c r="D12" s="24"/>
      <c r="E12" s="24"/>
      <c r="F12" s="29"/>
      <c r="G12" s="24"/>
      <c r="H12" s="24"/>
      <c r="I12" s="24"/>
      <c r="J12" s="24"/>
      <c r="K12" s="24"/>
      <c r="L12" s="29"/>
      <c r="M12" s="29"/>
      <c r="N12" s="29"/>
      <c r="O12" s="29"/>
      <c r="P12" s="29"/>
      <c r="Q12" s="29"/>
    </row>
    <row r="13" spans="1:17" ht="9.75" customHeight="1" x14ac:dyDescent="0.2">
      <c r="A13" s="53" t="s">
        <v>132</v>
      </c>
      <c r="B13" s="54" t="str">
        <f>MAPA!A25</f>
        <v>4102 A</v>
      </c>
      <c r="C13" s="55"/>
      <c r="D13" s="56"/>
      <c r="E13" s="57"/>
      <c r="F13" s="29"/>
      <c r="G13" s="53" t="s">
        <v>132</v>
      </c>
      <c r="H13" s="54" t="str">
        <f>MAPA!A26</f>
        <v>4102 B</v>
      </c>
      <c r="I13" s="55"/>
      <c r="J13" s="56"/>
      <c r="K13" s="57"/>
      <c r="L13" s="29"/>
      <c r="M13" s="53" t="s">
        <v>132</v>
      </c>
      <c r="N13" s="54" t="str">
        <f>MAPA!A27</f>
        <v>4102 C</v>
      </c>
      <c r="O13" s="55"/>
      <c r="P13" s="56"/>
      <c r="Q13" s="57"/>
    </row>
    <row r="14" spans="1:17" ht="9.75" customHeight="1" x14ac:dyDescent="0.2">
      <c r="A14" s="40" t="s">
        <v>133</v>
      </c>
      <c r="B14" s="41">
        <f>MAPA!B25</f>
        <v>0</v>
      </c>
      <c r="C14" s="24"/>
      <c r="D14" s="24"/>
      <c r="E14" s="31"/>
      <c r="F14" s="29"/>
      <c r="G14" s="40" t="s">
        <v>133</v>
      </c>
      <c r="H14" s="41" t="str">
        <f>MAPA!B26</f>
        <v>LUIZ FELIPE ELIAS SILVA, 9M</v>
      </c>
      <c r="I14" s="24"/>
      <c r="J14" s="24"/>
      <c r="K14" s="31"/>
      <c r="L14" s="29"/>
      <c r="M14" s="40" t="s">
        <v>133</v>
      </c>
      <c r="N14" s="41">
        <f>MAPA!B28</f>
        <v>0</v>
      </c>
      <c r="O14" s="24"/>
      <c r="P14" s="24"/>
      <c r="Q14" s="31"/>
    </row>
    <row r="15" spans="1:17" ht="9.75" customHeight="1" x14ac:dyDescent="0.2">
      <c r="A15" s="43">
        <f>MAPA!D25</f>
        <v>0</v>
      </c>
      <c r="B15" s="44" t="s">
        <v>134</v>
      </c>
      <c r="C15" s="45" t="s">
        <v>135</v>
      </c>
      <c r="D15" s="44">
        <f>MAPA!C25</f>
        <v>0</v>
      </c>
      <c r="E15" s="236">
        <f>MAPA!G25</f>
        <v>0</v>
      </c>
      <c r="F15" s="29"/>
      <c r="G15" s="43">
        <f>MAPA!D26</f>
        <v>200</v>
      </c>
      <c r="H15" s="44" t="s">
        <v>134</v>
      </c>
      <c r="I15" s="45" t="s">
        <v>135</v>
      </c>
      <c r="J15" s="44" t="str">
        <f>MAPA!C26</f>
        <v>VO</v>
      </c>
      <c r="K15" s="237" t="str">
        <f>MAPA!G26</f>
        <v>3/3H (-18 -03H -09H)</v>
      </c>
      <c r="L15" s="29"/>
      <c r="M15" s="43">
        <f>MAPA!D29</f>
        <v>0</v>
      </c>
      <c r="N15" s="44" t="s">
        <v>134</v>
      </c>
      <c r="O15" s="45" t="s">
        <v>135</v>
      </c>
      <c r="P15" s="44">
        <f>MAPA!C29</f>
        <v>0</v>
      </c>
      <c r="Q15" s="237">
        <f>MAPA!G29</f>
        <v>0</v>
      </c>
    </row>
    <row r="16" spans="1:17" ht="9.75" customHeight="1" x14ac:dyDescent="0.2">
      <c r="A16" s="46">
        <f>MAPA!E25</f>
        <v>0</v>
      </c>
      <c r="B16" s="44">
        <f>MAPA!F25</f>
        <v>0</v>
      </c>
      <c r="C16" s="24"/>
      <c r="D16" s="24"/>
      <c r="E16" s="236"/>
      <c r="F16" s="29"/>
      <c r="G16" s="46">
        <f>MAPA!E26</f>
        <v>0</v>
      </c>
      <c r="H16" s="44" t="str">
        <f>MAPA!F26</f>
        <v>FL 2º SEMESTRE</v>
      </c>
      <c r="I16" s="24"/>
      <c r="J16" s="24"/>
      <c r="K16" s="237"/>
      <c r="L16" s="29"/>
      <c r="M16" s="46">
        <f>MAPA!E29</f>
        <v>0</v>
      </c>
      <c r="N16" s="44">
        <f>MAPA!F30</f>
        <v>0</v>
      </c>
      <c r="O16" s="24"/>
      <c r="P16" s="24"/>
      <c r="Q16" s="237"/>
    </row>
    <row r="17" spans="1:17" ht="9.75" customHeight="1" thickBot="1" x14ac:dyDescent="0.25">
      <c r="A17" s="58" t="s">
        <v>137</v>
      </c>
      <c r="B17" s="59" t="s">
        <v>149</v>
      </c>
      <c r="C17" s="59"/>
      <c r="D17" s="59"/>
      <c r="E17" s="60"/>
      <c r="F17" s="29"/>
      <c r="G17" s="58" t="s">
        <v>137</v>
      </c>
      <c r="H17" s="59" t="s">
        <v>149</v>
      </c>
      <c r="I17" s="59"/>
      <c r="J17" s="59"/>
      <c r="K17" s="60"/>
      <c r="L17" s="29"/>
      <c r="M17" s="58" t="s">
        <v>137</v>
      </c>
      <c r="N17" s="59" t="s">
        <v>149</v>
      </c>
      <c r="O17" s="59"/>
      <c r="P17" s="59"/>
      <c r="Q17" s="60"/>
    </row>
    <row r="18" spans="1:17" ht="9.75" customHeight="1" x14ac:dyDescent="0.2">
      <c r="A18" s="232" t="s">
        <v>136</v>
      </c>
      <c r="B18" s="233"/>
      <c r="C18" s="228" t="str">
        <f>MAPA!A4</f>
        <v xml:space="preserve">DATA : 10/10/2019   </v>
      </c>
      <c r="D18" s="228"/>
      <c r="E18" s="39"/>
      <c r="F18" s="29"/>
      <c r="G18" s="232" t="s">
        <v>136</v>
      </c>
      <c r="H18" s="233"/>
      <c r="I18" s="228" t="str">
        <f>MAPA!A4</f>
        <v xml:space="preserve">DATA : 10/10/2019   </v>
      </c>
      <c r="J18" s="228"/>
      <c r="K18" s="39"/>
      <c r="L18" s="29"/>
      <c r="M18" s="232" t="s">
        <v>136</v>
      </c>
      <c r="N18" s="233"/>
      <c r="O18" s="228" t="str">
        <f>MAPA!A4</f>
        <v xml:space="preserve">DATA : 10/10/2019   </v>
      </c>
      <c r="P18" s="228"/>
      <c r="Q18" s="39"/>
    </row>
    <row r="19" spans="1:17" ht="9.75" customHeight="1" x14ac:dyDescent="0.2">
      <c r="A19" s="229" t="s">
        <v>150</v>
      </c>
      <c r="B19" s="230"/>
      <c r="C19" s="230"/>
      <c r="D19" s="230"/>
      <c r="E19" s="231"/>
      <c r="F19" s="29"/>
      <c r="G19" s="229" t="s">
        <v>150</v>
      </c>
      <c r="H19" s="230"/>
      <c r="I19" s="230"/>
      <c r="J19" s="230"/>
      <c r="K19" s="231"/>
      <c r="L19" s="29"/>
      <c r="M19" s="229" t="s">
        <v>150</v>
      </c>
      <c r="N19" s="230"/>
      <c r="O19" s="230"/>
      <c r="P19" s="230"/>
      <c r="Q19" s="231"/>
    </row>
    <row r="20" spans="1:17" s="34" customFormat="1" ht="9" customHeight="1" x14ac:dyDescent="0.25">
      <c r="A20" s="47" t="s">
        <v>178</v>
      </c>
      <c r="B20" s="48"/>
      <c r="C20" s="48"/>
      <c r="D20" s="48"/>
      <c r="E20" s="61" t="s">
        <v>139</v>
      </c>
      <c r="F20" s="49"/>
      <c r="G20" s="47" t="s">
        <v>178</v>
      </c>
      <c r="H20" s="48"/>
      <c r="I20" s="48"/>
      <c r="J20" s="48"/>
      <c r="K20" s="61" t="s">
        <v>139</v>
      </c>
      <c r="M20" s="47" t="s">
        <v>178</v>
      </c>
      <c r="N20" s="48"/>
      <c r="O20" s="48"/>
      <c r="P20" s="48"/>
      <c r="Q20" s="61" t="s">
        <v>139</v>
      </c>
    </row>
    <row r="21" spans="1:17" s="34" customFormat="1" ht="8.1" customHeight="1" x14ac:dyDescent="0.25">
      <c r="A21" s="50" t="s">
        <v>138</v>
      </c>
      <c r="B21" s="51"/>
      <c r="C21" s="51"/>
      <c r="D21" s="51"/>
      <c r="E21" s="52"/>
      <c r="F21" s="49"/>
      <c r="G21" s="50" t="s">
        <v>138</v>
      </c>
      <c r="H21" s="51"/>
      <c r="I21" s="51"/>
      <c r="J21" s="51"/>
      <c r="K21" s="52"/>
      <c r="M21" s="50" t="s">
        <v>138</v>
      </c>
      <c r="N21" s="51"/>
      <c r="O21" s="51"/>
      <c r="P21" s="51"/>
      <c r="Q21" s="52"/>
    </row>
    <row r="22" spans="1:17" s="24" customFormat="1" ht="9.75" customHeight="1" x14ac:dyDescent="0.2"/>
    <row r="23" spans="1:17" ht="9.75" customHeight="1" thickBot="1" x14ac:dyDescent="0.25">
      <c r="A23" s="24"/>
      <c r="B23" s="24"/>
      <c r="C23" s="24"/>
      <c r="D23" s="24"/>
      <c r="E23" s="24"/>
      <c r="F23" s="29"/>
      <c r="G23" s="24"/>
      <c r="H23" s="24"/>
      <c r="I23" s="24"/>
      <c r="J23" s="24"/>
      <c r="K23" s="24"/>
      <c r="L23" s="29"/>
      <c r="M23" s="29"/>
      <c r="N23" s="29"/>
      <c r="O23" s="29"/>
      <c r="P23" s="29"/>
      <c r="Q23" s="29"/>
    </row>
    <row r="24" spans="1:17" ht="9.75" customHeight="1" x14ac:dyDescent="0.2">
      <c r="A24" s="53" t="s">
        <v>132</v>
      </c>
      <c r="B24" s="54" t="str">
        <f>MAPA!A28</f>
        <v>4103 A</v>
      </c>
      <c r="C24" s="55"/>
      <c r="D24" s="56"/>
      <c r="E24" s="57"/>
      <c r="F24" s="29"/>
      <c r="G24" s="53" t="s">
        <v>132</v>
      </c>
      <c r="H24" s="54" t="str">
        <f>MAPA!A29</f>
        <v>4103 B</v>
      </c>
      <c r="I24" s="55"/>
      <c r="J24" s="56"/>
      <c r="K24" s="57"/>
      <c r="L24" s="29"/>
      <c r="M24" s="53" t="s">
        <v>132</v>
      </c>
      <c r="N24" s="54" t="str">
        <f>MAPA!A30</f>
        <v>4103 C</v>
      </c>
      <c r="O24" s="55"/>
      <c r="P24" s="56"/>
      <c r="Q24" s="57"/>
    </row>
    <row r="25" spans="1:17" ht="9.75" customHeight="1" x14ac:dyDescent="0.2">
      <c r="A25" s="40" t="s">
        <v>133</v>
      </c>
      <c r="B25" s="41">
        <f>MAPA!B28</f>
        <v>0</v>
      </c>
      <c r="C25" s="24"/>
      <c r="D25" s="24"/>
      <c r="E25" s="31"/>
      <c r="F25" s="29"/>
      <c r="G25" s="40" t="s">
        <v>133</v>
      </c>
      <c r="H25" s="41">
        <f>MAPA!B29</f>
        <v>0</v>
      </c>
      <c r="I25" s="24"/>
      <c r="J25" s="24"/>
      <c r="K25" s="31"/>
      <c r="L25" s="29"/>
      <c r="M25" s="40" t="s">
        <v>133</v>
      </c>
      <c r="N25" s="41">
        <f>MAPA!B30</f>
        <v>0</v>
      </c>
      <c r="O25" s="24"/>
      <c r="P25" s="24"/>
      <c r="Q25" s="31"/>
    </row>
    <row r="26" spans="1:17" ht="9.75" customHeight="1" x14ac:dyDescent="0.2">
      <c r="A26" s="43">
        <f>MAPA!D28</f>
        <v>0</v>
      </c>
      <c r="B26" s="44" t="s">
        <v>134</v>
      </c>
      <c r="C26" s="45" t="s">
        <v>135</v>
      </c>
      <c r="D26" s="44">
        <f>MAPA!C28</f>
        <v>0</v>
      </c>
      <c r="E26" s="31">
        <f>MAPA!G28</f>
        <v>0</v>
      </c>
      <c r="F26" s="29"/>
      <c r="G26" s="43">
        <f>MAPA!D29</f>
        <v>0</v>
      </c>
      <c r="H26" s="44" t="s">
        <v>134</v>
      </c>
      <c r="I26" s="45" t="s">
        <v>135</v>
      </c>
      <c r="J26" s="44">
        <f>MAPA!C29</f>
        <v>0</v>
      </c>
      <c r="K26" s="31">
        <f>MAPA!G29</f>
        <v>0</v>
      </c>
      <c r="L26" s="29"/>
      <c r="M26" s="43">
        <f>MAPA!D30</f>
        <v>0</v>
      </c>
      <c r="N26" s="44" t="s">
        <v>134</v>
      </c>
      <c r="O26" s="45" t="s">
        <v>135</v>
      </c>
      <c r="P26" s="44">
        <f>MAPA!C30</f>
        <v>0</v>
      </c>
      <c r="Q26" s="31">
        <f>MAPA!G30</f>
        <v>0</v>
      </c>
    </row>
    <row r="27" spans="1:17" ht="9.75" customHeight="1" x14ac:dyDescent="0.2">
      <c r="A27" s="46" t="e">
        <f>MAPA!#REF!</f>
        <v>#REF!</v>
      </c>
      <c r="B27" s="44">
        <f>MAPA!F28</f>
        <v>0</v>
      </c>
      <c r="C27" s="24"/>
      <c r="D27" s="24"/>
      <c r="E27" s="31"/>
      <c r="F27" s="29"/>
      <c r="G27" s="46">
        <f>MAPA!E29</f>
        <v>0</v>
      </c>
      <c r="H27" s="44">
        <f>MAPA!F30</f>
        <v>0</v>
      </c>
      <c r="I27" s="24"/>
      <c r="J27" s="24"/>
      <c r="K27" s="31"/>
      <c r="L27" s="29"/>
      <c r="M27" s="46">
        <f>MAPA!E30</f>
        <v>0</v>
      </c>
      <c r="N27" s="44" t="e">
        <f>MAPA!#REF!</f>
        <v>#REF!</v>
      </c>
      <c r="O27" s="24"/>
      <c r="P27" s="24"/>
      <c r="Q27" s="31"/>
    </row>
    <row r="28" spans="1:17" ht="9.75" customHeight="1" thickBot="1" x14ac:dyDescent="0.25">
      <c r="A28" s="58" t="s">
        <v>137</v>
      </c>
      <c r="B28" s="59" t="s">
        <v>149</v>
      </c>
      <c r="C28" s="59"/>
      <c r="D28" s="59"/>
      <c r="E28" s="60"/>
      <c r="F28" s="29"/>
      <c r="G28" s="58" t="s">
        <v>137</v>
      </c>
      <c r="H28" s="59" t="s">
        <v>149</v>
      </c>
      <c r="I28" s="59"/>
      <c r="J28" s="59"/>
      <c r="K28" s="60"/>
      <c r="L28" s="29"/>
      <c r="M28" s="58" t="s">
        <v>137</v>
      </c>
      <c r="N28" s="59" t="s">
        <v>149</v>
      </c>
      <c r="O28" s="59"/>
      <c r="P28" s="59"/>
      <c r="Q28" s="60"/>
    </row>
    <row r="29" spans="1:17" ht="9.75" customHeight="1" x14ac:dyDescent="0.2">
      <c r="A29" s="232" t="s">
        <v>136</v>
      </c>
      <c r="B29" s="233"/>
      <c r="C29" s="228" t="str">
        <f>MAPA!A4</f>
        <v xml:space="preserve">DATA : 10/10/2019   </v>
      </c>
      <c r="D29" s="228"/>
      <c r="E29" s="39"/>
      <c r="F29" s="29"/>
      <c r="G29" s="232" t="s">
        <v>136</v>
      </c>
      <c r="H29" s="233"/>
      <c r="I29" s="228" t="str">
        <f>MAPA!A4</f>
        <v xml:space="preserve">DATA : 10/10/2019   </v>
      </c>
      <c r="J29" s="228"/>
      <c r="K29" s="39"/>
      <c r="L29" s="29"/>
      <c r="M29" s="232" t="s">
        <v>136</v>
      </c>
      <c r="N29" s="233"/>
      <c r="O29" s="228" t="str">
        <f>MAPA!A4</f>
        <v xml:space="preserve">DATA : 10/10/2019   </v>
      </c>
      <c r="P29" s="228"/>
      <c r="Q29" s="39"/>
    </row>
    <row r="30" spans="1:17" ht="9.75" customHeight="1" x14ac:dyDescent="0.2">
      <c r="A30" s="229" t="s">
        <v>150</v>
      </c>
      <c r="B30" s="230"/>
      <c r="C30" s="230"/>
      <c r="D30" s="230"/>
      <c r="E30" s="231"/>
      <c r="F30" s="29"/>
      <c r="G30" s="229" t="s">
        <v>150</v>
      </c>
      <c r="H30" s="230"/>
      <c r="I30" s="230"/>
      <c r="J30" s="230"/>
      <c r="K30" s="231"/>
      <c r="L30" s="29"/>
      <c r="M30" s="229" t="s">
        <v>150</v>
      </c>
      <c r="N30" s="230"/>
      <c r="O30" s="230"/>
      <c r="P30" s="230"/>
      <c r="Q30" s="231"/>
    </row>
    <row r="31" spans="1:17" s="34" customFormat="1" ht="9" customHeight="1" x14ac:dyDescent="0.25">
      <c r="A31" s="47" t="s">
        <v>190</v>
      </c>
      <c r="B31" s="48"/>
      <c r="C31" s="48"/>
      <c r="D31" s="48"/>
      <c r="E31" s="61" t="s">
        <v>139</v>
      </c>
      <c r="F31" s="49"/>
      <c r="G31" s="47" t="s">
        <v>190</v>
      </c>
      <c r="H31" s="48"/>
      <c r="I31" s="48"/>
      <c r="J31" s="48"/>
      <c r="K31" s="61" t="s">
        <v>139</v>
      </c>
      <c r="M31" s="47" t="s">
        <v>190</v>
      </c>
      <c r="N31" s="48"/>
      <c r="O31" s="48"/>
      <c r="P31" s="48"/>
      <c r="Q31" s="61" t="s">
        <v>139</v>
      </c>
    </row>
    <row r="32" spans="1:17" s="34" customFormat="1" ht="8.1" customHeight="1" x14ac:dyDescent="0.25">
      <c r="A32" s="50" t="s">
        <v>138</v>
      </c>
      <c r="B32" s="51"/>
      <c r="C32" s="51"/>
      <c r="D32" s="51"/>
      <c r="E32" s="52"/>
      <c r="F32" s="49"/>
      <c r="G32" s="50" t="s">
        <v>138</v>
      </c>
      <c r="H32" s="51"/>
      <c r="I32" s="51"/>
      <c r="J32" s="51"/>
      <c r="K32" s="52"/>
      <c r="M32" s="50" t="s">
        <v>138</v>
      </c>
      <c r="N32" s="51"/>
      <c r="O32" s="51"/>
      <c r="P32" s="51"/>
      <c r="Q32" s="52"/>
    </row>
    <row r="33" spans="1:17" s="24" customFormat="1" ht="9.75" customHeight="1" x14ac:dyDescent="0.2"/>
    <row r="34" spans="1:17" ht="9.75" customHeight="1" thickBot="1" x14ac:dyDescent="0.25">
      <c r="A34" s="24"/>
      <c r="B34" s="24"/>
      <c r="C34" s="24"/>
      <c r="D34" s="24"/>
      <c r="E34" s="24"/>
      <c r="F34" s="29"/>
      <c r="G34" s="24"/>
      <c r="H34" s="24"/>
      <c r="I34" s="24"/>
      <c r="J34" s="24"/>
      <c r="K34" s="24"/>
      <c r="L34" s="29"/>
      <c r="M34" s="29"/>
      <c r="N34" s="29"/>
      <c r="O34" s="29"/>
      <c r="P34" s="29"/>
      <c r="Q34" s="29"/>
    </row>
    <row r="35" spans="1:17" ht="9.75" customHeight="1" x14ac:dyDescent="0.2">
      <c r="A35" s="53" t="s">
        <v>132</v>
      </c>
      <c r="B35" s="54" t="str">
        <f>MAPA!A31</f>
        <v>4104 A</v>
      </c>
      <c r="C35" s="55"/>
      <c r="D35" s="56"/>
      <c r="E35" s="57"/>
      <c r="F35" s="29"/>
      <c r="G35" s="53" t="s">
        <v>132</v>
      </c>
      <c r="H35" s="54" t="str">
        <f>MAPA!A32</f>
        <v>4104 B</v>
      </c>
      <c r="I35" s="55"/>
      <c r="J35" s="56"/>
      <c r="K35" s="57"/>
      <c r="L35" s="29"/>
      <c r="M35" s="53" t="s">
        <v>132</v>
      </c>
      <c r="N35" s="54" t="str">
        <f>MAPA!A33</f>
        <v>4104 C</v>
      </c>
      <c r="O35" s="55"/>
      <c r="P35" s="56"/>
      <c r="Q35" s="57"/>
    </row>
    <row r="36" spans="1:17" ht="9.75" customHeight="1" x14ac:dyDescent="0.2">
      <c r="A36" s="40" t="s">
        <v>133</v>
      </c>
      <c r="B36" s="41">
        <f>MAPA!B31</f>
        <v>0</v>
      </c>
      <c r="C36" s="24"/>
      <c r="D36" s="24"/>
      <c r="E36" s="31"/>
      <c r="F36" s="29"/>
      <c r="G36" s="40" t="s">
        <v>133</v>
      </c>
      <c r="H36" s="41">
        <f>MAPA!B32</f>
        <v>0</v>
      </c>
      <c r="I36" s="24"/>
      <c r="J36" s="24"/>
      <c r="K36" s="31"/>
      <c r="L36" s="29"/>
      <c r="M36" s="40" t="s">
        <v>133</v>
      </c>
      <c r="N36" s="41">
        <f>MAPA!B33</f>
        <v>0</v>
      </c>
      <c r="O36" s="24"/>
      <c r="P36" s="24"/>
      <c r="Q36" s="31"/>
    </row>
    <row r="37" spans="1:17" ht="9.75" customHeight="1" x14ac:dyDescent="0.2">
      <c r="A37" s="43">
        <f>MAPA!D31</f>
        <v>0</v>
      </c>
      <c r="B37" s="44" t="s">
        <v>134</v>
      </c>
      <c r="C37" s="45" t="s">
        <v>135</v>
      </c>
      <c r="D37" s="44">
        <f>MAPA!C31</f>
        <v>0</v>
      </c>
      <c r="E37" s="31">
        <f>MAPA!G31</f>
        <v>0</v>
      </c>
      <c r="F37" s="29"/>
      <c r="G37" s="43">
        <f>MAPA!D32</f>
        <v>0</v>
      </c>
      <c r="H37" s="44" t="s">
        <v>134</v>
      </c>
      <c r="I37" s="45" t="s">
        <v>135</v>
      </c>
      <c r="J37" s="44">
        <f>MAPA!C32</f>
        <v>0</v>
      </c>
      <c r="K37" s="31">
        <f>MAPA!G32</f>
        <v>0</v>
      </c>
      <c r="L37" s="29"/>
      <c r="M37" s="43">
        <f>MAPA!D33</f>
        <v>0</v>
      </c>
      <c r="N37" s="44" t="s">
        <v>134</v>
      </c>
      <c r="O37" s="45" t="s">
        <v>135</v>
      </c>
      <c r="P37" s="44">
        <f>MAPA!C33</f>
        <v>0</v>
      </c>
      <c r="Q37" s="31">
        <f>MAPA!G33</f>
        <v>0</v>
      </c>
    </row>
    <row r="38" spans="1:17" ht="9.75" customHeight="1" x14ac:dyDescent="0.2">
      <c r="A38" s="46">
        <f>MAPA!E31</f>
        <v>0</v>
      </c>
      <c r="B38" s="44">
        <f>MAPA!F31</f>
        <v>0</v>
      </c>
      <c r="C38" s="24"/>
      <c r="D38" s="24"/>
      <c r="E38" s="31"/>
      <c r="F38" s="29"/>
      <c r="G38" s="46">
        <f>MAPA!E32</f>
        <v>0</v>
      </c>
      <c r="H38" s="44">
        <f>MAPA!F32</f>
        <v>0</v>
      </c>
      <c r="I38" s="24"/>
      <c r="J38" s="24"/>
      <c r="K38" s="31"/>
      <c r="L38" s="29"/>
      <c r="M38" s="46">
        <f>MAPA!E33</f>
        <v>0</v>
      </c>
      <c r="N38" s="44">
        <f>MAPA!F33</f>
        <v>0</v>
      </c>
      <c r="O38" s="24"/>
      <c r="P38" s="24"/>
      <c r="Q38" s="31"/>
    </row>
    <row r="39" spans="1:17" ht="9.75" customHeight="1" thickBot="1" x14ac:dyDescent="0.25">
      <c r="A39" s="58" t="s">
        <v>137</v>
      </c>
      <c r="B39" s="59" t="s">
        <v>149</v>
      </c>
      <c r="C39" s="59"/>
      <c r="D39" s="59"/>
      <c r="E39" s="60"/>
      <c r="F39" s="29"/>
      <c r="G39" s="58" t="s">
        <v>137</v>
      </c>
      <c r="H39" s="59" t="s">
        <v>149</v>
      </c>
      <c r="I39" s="59"/>
      <c r="J39" s="59"/>
      <c r="K39" s="60"/>
      <c r="L39" s="29"/>
      <c r="M39" s="58" t="s">
        <v>137</v>
      </c>
      <c r="N39" s="59" t="s">
        <v>149</v>
      </c>
      <c r="O39" s="59"/>
      <c r="P39" s="59"/>
      <c r="Q39" s="60"/>
    </row>
    <row r="40" spans="1:17" ht="9.75" customHeight="1" x14ac:dyDescent="0.2">
      <c r="A40" s="232" t="s">
        <v>136</v>
      </c>
      <c r="B40" s="233"/>
      <c r="C40" s="228" t="str">
        <f>MAPA!A4</f>
        <v xml:space="preserve">DATA : 10/10/2019   </v>
      </c>
      <c r="D40" s="228"/>
      <c r="E40" s="39"/>
      <c r="F40" s="29"/>
      <c r="G40" s="232" t="s">
        <v>136</v>
      </c>
      <c r="H40" s="233"/>
      <c r="I40" s="228" t="str">
        <f>MAPA!A4</f>
        <v xml:space="preserve">DATA : 10/10/2019   </v>
      </c>
      <c r="J40" s="228"/>
      <c r="K40" s="39"/>
      <c r="L40" s="29"/>
      <c r="M40" s="232" t="s">
        <v>136</v>
      </c>
      <c r="N40" s="233"/>
      <c r="O40" s="228" t="str">
        <f>MAPA!A4</f>
        <v xml:space="preserve">DATA : 10/10/2019   </v>
      </c>
      <c r="P40" s="228"/>
      <c r="Q40" s="39"/>
    </row>
    <row r="41" spans="1:17" ht="9.75" customHeight="1" x14ac:dyDescent="0.2">
      <c r="A41" s="229" t="s">
        <v>150</v>
      </c>
      <c r="B41" s="230"/>
      <c r="C41" s="230"/>
      <c r="D41" s="230"/>
      <c r="E41" s="231"/>
      <c r="F41" s="29"/>
      <c r="G41" s="229" t="s">
        <v>150</v>
      </c>
      <c r="H41" s="230"/>
      <c r="I41" s="230"/>
      <c r="J41" s="230"/>
      <c r="K41" s="231"/>
      <c r="L41" s="29"/>
      <c r="M41" s="229" t="s">
        <v>150</v>
      </c>
      <c r="N41" s="230"/>
      <c r="O41" s="230"/>
      <c r="P41" s="230"/>
      <c r="Q41" s="231"/>
    </row>
    <row r="42" spans="1:17" s="34" customFormat="1" ht="9" customHeight="1" x14ac:dyDescent="0.25">
      <c r="A42" s="47" t="s">
        <v>190</v>
      </c>
      <c r="B42" s="48"/>
      <c r="C42" s="48"/>
      <c r="D42" s="48"/>
      <c r="E42" s="61" t="s">
        <v>139</v>
      </c>
      <c r="F42" s="49"/>
      <c r="G42" s="47" t="s">
        <v>190</v>
      </c>
      <c r="H42" s="48"/>
      <c r="I42" s="48"/>
      <c r="J42" s="48"/>
      <c r="K42" s="61" t="s">
        <v>139</v>
      </c>
      <c r="M42" s="47" t="s">
        <v>190</v>
      </c>
      <c r="N42" s="48"/>
      <c r="O42" s="48"/>
      <c r="P42" s="48"/>
      <c r="Q42" s="61" t="s">
        <v>139</v>
      </c>
    </row>
    <row r="43" spans="1:17" s="34" customFormat="1" ht="8.1" customHeight="1" x14ac:dyDescent="0.25">
      <c r="A43" s="50" t="s">
        <v>138</v>
      </c>
      <c r="B43" s="51"/>
      <c r="C43" s="51"/>
      <c r="D43" s="51"/>
      <c r="E43" s="52"/>
      <c r="F43" s="49"/>
      <c r="G43" s="50" t="s">
        <v>138</v>
      </c>
      <c r="H43" s="51"/>
      <c r="I43" s="51"/>
      <c r="J43" s="51"/>
      <c r="K43" s="52"/>
      <c r="M43" s="50" t="s">
        <v>138</v>
      </c>
      <c r="N43" s="51"/>
      <c r="O43" s="51"/>
      <c r="P43" s="51"/>
      <c r="Q43" s="52"/>
    </row>
    <row r="44" spans="1:17" s="24" customFormat="1" ht="9.75" customHeight="1" x14ac:dyDescent="0.2"/>
    <row r="45" spans="1:17" ht="9.75" customHeight="1" thickBot="1" x14ac:dyDescent="0.25">
      <c r="A45" s="24"/>
      <c r="B45" s="24"/>
      <c r="C45" s="24"/>
      <c r="D45" s="24"/>
      <c r="E45" s="24"/>
      <c r="F45" s="29"/>
      <c r="G45" s="24"/>
      <c r="H45" s="24"/>
      <c r="I45" s="24"/>
      <c r="J45" s="24"/>
      <c r="K45" s="24"/>
      <c r="L45" s="29"/>
      <c r="M45" s="29"/>
      <c r="N45" s="29"/>
      <c r="O45" s="29"/>
      <c r="P45" s="29"/>
      <c r="Q45" s="29"/>
    </row>
    <row r="46" spans="1:17" ht="9.75" customHeight="1" x14ac:dyDescent="0.2">
      <c r="A46" s="53" t="s">
        <v>132</v>
      </c>
      <c r="B46" s="54" t="str">
        <f>MAPA!A34</f>
        <v>4105 A</v>
      </c>
      <c r="C46" s="55"/>
      <c r="D46" s="56"/>
      <c r="E46" s="57"/>
      <c r="F46" s="29"/>
      <c r="G46" s="53" t="s">
        <v>132</v>
      </c>
      <c r="H46" s="54" t="str">
        <f>MAPA!A35</f>
        <v>4105 B</v>
      </c>
      <c r="I46" s="55"/>
      <c r="J46" s="56"/>
      <c r="K46" s="57"/>
      <c r="L46" s="29"/>
      <c r="M46" s="53" t="s">
        <v>132</v>
      </c>
      <c r="N46" s="54" t="str">
        <f>MAPA!A36</f>
        <v>4105 C</v>
      </c>
      <c r="O46" s="55"/>
      <c r="P46" s="56"/>
      <c r="Q46" s="57"/>
    </row>
    <row r="47" spans="1:17" ht="9.75" customHeight="1" x14ac:dyDescent="0.2">
      <c r="A47" s="40" t="s">
        <v>133</v>
      </c>
      <c r="B47" s="41">
        <f>MAPA!B34</f>
        <v>0</v>
      </c>
      <c r="C47" s="24"/>
      <c r="D47" s="24"/>
      <c r="E47" s="31"/>
      <c r="F47" s="29"/>
      <c r="G47" s="40" t="s">
        <v>133</v>
      </c>
      <c r="H47" s="41">
        <f>MAPA!B35</f>
        <v>0</v>
      </c>
      <c r="I47" s="24"/>
      <c r="J47" s="24"/>
      <c r="K47" s="31"/>
      <c r="L47" s="29"/>
      <c r="M47" s="40" t="s">
        <v>133</v>
      </c>
      <c r="N47" s="41">
        <f>MAPA!B36</f>
        <v>0</v>
      </c>
      <c r="O47" s="24"/>
      <c r="P47" s="24"/>
      <c r="Q47" s="31"/>
    </row>
    <row r="48" spans="1:17" ht="9.75" customHeight="1" x14ac:dyDescent="0.2">
      <c r="A48" s="43">
        <f>MAPA!D34</f>
        <v>0</v>
      </c>
      <c r="B48" s="44" t="s">
        <v>134</v>
      </c>
      <c r="C48" s="45" t="s">
        <v>135</v>
      </c>
      <c r="D48" s="44">
        <f>MAPA!C34</f>
        <v>0</v>
      </c>
      <c r="E48" s="31">
        <f>MAPA!G34</f>
        <v>0</v>
      </c>
      <c r="F48" s="29"/>
      <c r="G48" s="43">
        <f>MAPA!D35</f>
        <v>0</v>
      </c>
      <c r="H48" s="44" t="s">
        <v>134</v>
      </c>
      <c r="I48" s="45" t="s">
        <v>135</v>
      </c>
      <c r="J48" s="44">
        <f>MAPA!C35</f>
        <v>0</v>
      </c>
      <c r="K48" s="31">
        <f>MAPA!G35</f>
        <v>0</v>
      </c>
      <c r="L48" s="29"/>
      <c r="M48" s="43">
        <f>MAPA!D36</f>
        <v>0</v>
      </c>
      <c r="N48" s="44" t="s">
        <v>134</v>
      </c>
      <c r="O48" s="45" t="s">
        <v>135</v>
      </c>
      <c r="P48" s="44">
        <f>MAPA!C36</f>
        <v>0</v>
      </c>
      <c r="Q48" s="31">
        <f>MAPA!G36</f>
        <v>0</v>
      </c>
    </row>
    <row r="49" spans="1:18" ht="9.75" customHeight="1" x14ac:dyDescent="0.2">
      <c r="A49" s="46">
        <f>MAPA!E34</f>
        <v>0</v>
      </c>
      <c r="B49" s="44">
        <f>MAPA!F34</f>
        <v>0</v>
      </c>
      <c r="C49" s="24"/>
      <c r="D49" s="24"/>
      <c r="E49" s="31"/>
      <c r="F49" s="29"/>
      <c r="G49" s="46">
        <f>MAPA!E35</f>
        <v>0</v>
      </c>
      <c r="H49" s="44">
        <f>MAPA!F35</f>
        <v>0</v>
      </c>
      <c r="I49" s="24"/>
      <c r="J49" s="24"/>
      <c r="K49" s="31"/>
      <c r="L49" s="29"/>
      <c r="M49" s="46">
        <f>MAPA!E36</f>
        <v>0</v>
      </c>
      <c r="N49" s="44">
        <f>MAPA!F36</f>
        <v>0</v>
      </c>
      <c r="O49" s="24"/>
      <c r="P49" s="24"/>
      <c r="Q49" s="31"/>
    </row>
    <row r="50" spans="1:18" ht="9.75" customHeight="1" thickBot="1" x14ac:dyDescent="0.25">
      <c r="A50" s="58" t="s">
        <v>137</v>
      </c>
      <c r="B50" s="59" t="s">
        <v>149</v>
      </c>
      <c r="C50" s="59"/>
      <c r="D50" s="59"/>
      <c r="E50" s="60"/>
      <c r="F50" s="29"/>
      <c r="G50" s="58" t="s">
        <v>137</v>
      </c>
      <c r="H50" s="59" t="s">
        <v>149</v>
      </c>
      <c r="I50" s="59"/>
      <c r="J50" s="59"/>
      <c r="K50" s="60"/>
      <c r="L50" s="29"/>
      <c r="M50" s="58" t="s">
        <v>137</v>
      </c>
      <c r="N50" s="59" t="s">
        <v>149</v>
      </c>
      <c r="O50" s="59"/>
      <c r="P50" s="59"/>
      <c r="Q50" s="60"/>
    </row>
    <row r="51" spans="1:18" ht="9.75" customHeight="1" x14ac:dyDescent="0.2">
      <c r="A51" s="232" t="s">
        <v>136</v>
      </c>
      <c r="B51" s="233"/>
      <c r="C51" s="228" t="str">
        <f>MAPA!A4</f>
        <v xml:space="preserve">DATA : 10/10/2019   </v>
      </c>
      <c r="D51" s="228"/>
      <c r="E51" s="39"/>
      <c r="F51" s="29"/>
      <c r="G51" s="232" t="s">
        <v>136</v>
      </c>
      <c r="H51" s="233"/>
      <c r="I51" s="228" t="str">
        <f>MAPA!A4</f>
        <v xml:space="preserve">DATA : 10/10/2019   </v>
      </c>
      <c r="J51" s="228"/>
      <c r="K51" s="39"/>
      <c r="L51" s="29"/>
      <c r="M51" s="232" t="s">
        <v>136</v>
      </c>
      <c r="N51" s="233"/>
      <c r="O51" s="228" t="str">
        <f>MAPA!A4</f>
        <v xml:space="preserve">DATA : 10/10/2019   </v>
      </c>
      <c r="P51" s="228"/>
      <c r="Q51" s="39"/>
    </row>
    <row r="52" spans="1:18" ht="9.75" customHeight="1" x14ac:dyDescent="0.2">
      <c r="A52" s="229" t="s">
        <v>150</v>
      </c>
      <c r="B52" s="230"/>
      <c r="C52" s="230"/>
      <c r="D52" s="230"/>
      <c r="E52" s="231"/>
      <c r="F52" s="29"/>
      <c r="G52" s="229" t="s">
        <v>150</v>
      </c>
      <c r="H52" s="230"/>
      <c r="I52" s="230"/>
      <c r="J52" s="230"/>
      <c r="K52" s="231"/>
      <c r="L52" s="29"/>
      <c r="M52" s="229" t="s">
        <v>150</v>
      </c>
      <c r="N52" s="230"/>
      <c r="O52" s="230"/>
      <c r="P52" s="230"/>
      <c r="Q52" s="231"/>
    </row>
    <row r="53" spans="1:18" s="34" customFormat="1" ht="9" customHeight="1" x14ac:dyDescent="0.25">
      <c r="A53" s="47" t="s">
        <v>190</v>
      </c>
      <c r="B53" s="48"/>
      <c r="C53" s="48"/>
      <c r="D53" s="48"/>
      <c r="E53" s="61" t="s">
        <v>139</v>
      </c>
      <c r="F53" s="49"/>
      <c r="G53" s="47" t="s">
        <v>190</v>
      </c>
      <c r="H53" s="48"/>
      <c r="I53" s="48"/>
      <c r="J53" s="48"/>
      <c r="K53" s="61" t="s">
        <v>139</v>
      </c>
      <c r="M53" s="47" t="s">
        <v>190</v>
      </c>
      <c r="N53" s="48"/>
      <c r="O53" s="48"/>
      <c r="P53" s="48"/>
      <c r="Q53" s="61" t="s">
        <v>139</v>
      </c>
    </row>
    <row r="54" spans="1:18" s="34" customFormat="1" ht="8.1" customHeight="1" x14ac:dyDescent="0.25">
      <c r="A54" s="50" t="s">
        <v>138</v>
      </c>
      <c r="B54" s="51"/>
      <c r="C54" s="51"/>
      <c r="D54" s="51"/>
      <c r="E54" s="52"/>
      <c r="F54" s="49"/>
      <c r="G54" s="50" t="s">
        <v>138</v>
      </c>
      <c r="H54" s="51"/>
      <c r="I54" s="51"/>
      <c r="J54" s="51"/>
      <c r="K54" s="52"/>
      <c r="M54" s="50" t="s">
        <v>138</v>
      </c>
      <c r="N54" s="51"/>
      <c r="O54" s="51"/>
      <c r="P54" s="51"/>
      <c r="Q54" s="52"/>
    </row>
    <row r="55" spans="1:18" s="24" customFormat="1" ht="9.75" customHeight="1" x14ac:dyDescent="0.2"/>
    <row r="56" spans="1:18" ht="9.75" customHeight="1" thickBot="1" x14ac:dyDescent="0.25"/>
    <row r="57" spans="1:18" ht="9.75" customHeight="1" x14ac:dyDescent="0.2">
      <c r="A57" s="53" t="s">
        <v>132</v>
      </c>
      <c r="B57" s="54" t="str">
        <f>MAPA!A37</f>
        <v>4106 A</v>
      </c>
      <c r="C57" s="55"/>
      <c r="D57" s="56"/>
      <c r="E57" s="57"/>
      <c r="F57" s="29"/>
      <c r="G57" s="53" t="s">
        <v>132</v>
      </c>
      <c r="H57" s="54" t="str">
        <f>MAPA!A38</f>
        <v>4106 B</v>
      </c>
      <c r="I57" s="55"/>
      <c r="J57" s="56"/>
      <c r="K57" s="57"/>
      <c r="L57" s="29"/>
      <c r="M57" s="53" t="s">
        <v>132</v>
      </c>
      <c r="N57" s="54" t="str">
        <f>MAPA!A39</f>
        <v>4106 C</v>
      </c>
      <c r="O57" s="55"/>
      <c r="P57" s="56"/>
      <c r="Q57" s="57"/>
      <c r="R57" s="28"/>
    </row>
    <row r="58" spans="1:18" ht="9.75" customHeight="1" x14ac:dyDescent="0.2">
      <c r="A58" s="40" t="s">
        <v>133</v>
      </c>
      <c r="B58" s="41">
        <f>MAPA!B27</f>
        <v>0</v>
      </c>
      <c r="C58" s="24"/>
      <c r="D58" s="24"/>
      <c r="E58" s="31"/>
      <c r="F58" s="29"/>
      <c r="G58" s="40" t="s">
        <v>133</v>
      </c>
      <c r="H58" s="41">
        <f>MAPA!B38</f>
        <v>0</v>
      </c>
      <c r="I58" s="24"/>
      <c r="J58" s="24"/>
      <c r="K58" s="31"/>
      <c r="L58" s="29"/>
      <c r="M58" s="40" t="s">
        <v>133</v>
      </c>
      <c r="N58" s="41">
        <f>MAPA!B39</f>
        <v>0</v>
      </c>
      <c r="O58" s="24"/>
      <c r="P58" s="24"/>
      <c r="Q58" s="31"/>
    </row>
    <row r="59" spans="1:18" ht="9.75" customHeight="1" x14ac:dyDescent="0.2">
      <c r="A59" s="43">
        <f>MAPA!D37</f>
        <v>240</v>
      </c>
      <c r="B59" s="44" t="s">
        <v>134</v>
      </c>
      <c r="C59" s="45" t="s">
        <v>135</v>
      </c>
      <c r="D59" s="44" t="str">
        <f>MAPA!C37</f>
        <v>VO</v>
      </c>
      <c r="E59" s="31" t="str">
        <f>MAPA!G37</f>
        <v>7:30-15-21-24</v>
      </c>
      <c r="F59" s="29"/>
      <c r="G59" s="43">
        <f>MAPA!D38</f>
        <v>0</v>
      </c>
      <c r="H59" s="44" t="s">
        <v>134</v>
      </c>
      <c r="I59" s="45" t="s">
        <v>135</v>
      </c>
      <c r="J59" s="44">
        <f>MAPA!C38</f>
        <v>0</v>
      </c>
      <c r="K59" s="31">
        <f>MAPA!G38</f>
        <v>0</v>
      </c>
      <c r="L59" s="29"/>
      <c r="M59" s="43">
        <f>MAPA!D39</f>
        <v>0</v>
      </c>
      <c r="N59" s="44" t="s">
        <v>134</v>
      </c>
      <c r="O59" s="45" t="s">
        <v>135</v>
      </c>
      <c r="P59" s="44">
        <f>MAPA!C39</f>
        <v>0</v>
      </c>
      <c r="Q59" s="31">
        <f>MAPA!G39</f>
        <v>0</v>
      </c>
    </row>
    <row r="60" spans="1:18" ht="9.75" customHeight="1" x14ac:dyDescent="0.2">
      <c r="A60" s="46">
        <f>MAPA!E37</f>
        <v>0</v>
      </c>
      <c r="B60" s="44" t="str">
        <f>MAPA!F37</f>
        <v>LV+ACHO</v>
      </c>
      <c r="C60" s="24"/>
      <c r="D60" s="24"/>
      <c r="E60" s="31"/>
      <c r="F60" s="29"/>
      <c r="G60" s="46">
        <f>MAPA!E38</f>
        <v>0</v>
      </c>
      <c r="H60" s="44">
        <f>MAPA!F38</f>
        <v>0</v>
      </c>
      <c r="I60" s="24"/>
      <c r="J60" s="24"/>
      <c r="K60" s="31"/>
      <c r="L60" s="29"/>
      <c r="M60" s="46">
        <f>MAPA!E39</f>
        <v>0</v>
      </c>
      <c r="N60" s="44">
        <f>MAPA!F39</f>
        <v>0</v>
      </c>
      <c r="O60" s="24"/>
      <c r="P60" s="24"/>
      <c r="Q60" s="31"/>
    </row>
    <row r="61" spans="1:18" ht="9.75" customHeight="1" thickBot="1" x14ac:dyDescent="0.25">
      <c r="A61" s="58" t="s">
        <v>137</v>
      </c>
      <c r="B61" s="59" t="s">
        <v>149</v>
      </c>
      <c r="C61" s="59"/>
      <c r="D61" s="59"/>
      <c r="E61" s="60"/>
      <c r="F61" s="29"/>
      <c r="G61" s="58" t="s">
        <v>137</v>
      </c>
      <c r="H61" s="59" t="s">
        <v>149</v>
      </c>
      <c r="I61" s="59"/>
      <c r="J61" s="59"/>
      <c r="K61" s="60"/>
      <c r="L61" s="29"/>
      <c r="M61" s="58" t="s">
        <v>137</v>
      </c>
      <c r="N61" s="59" t="s">
        <v>149</v>
      </c>
      <c r="O61" s="59"/>
      <c r="P61" s="59"/>
      <c r="Q61" s="60"/>
    </row>
    <row r="62" spans="1:18" ht="9.75" customHeight="1" x14ac:dyDescent="0.2">
      <c r="A62" s="232" t="s">
        <v>136</v>
      </c>
      <c r="B62" s="233"/>
      <c r="C62" s="228" t="str">
        <f>MAPA!A4</f>
        <v xml:space="preserve">DATA : 10/10/2019   </v>
      </c>
      <c r="D62" s="228"/>
      <c r="E62" s="39"/>
      <c r="F62" s="29"/>
      <c r="G62" s="232" t="s">
        <v>136</v>
      </c>
      <c r="H62" s="233"/>
      <c r="I62" s="228" t="str">
        <f>MAPA!A4</f>
        <v xml:space="preserve">DATA : 10/10/2019   </v>
      </c>
      <c r="J62" s="228"/>
      <c r="K62" s="39"/>
      <c r="L62" s="29"/>
      <c r="M62" s="232" t="s">
        <v>136</v>
      </c>
      <c r="N62" s="233"/>
      <c r="O62" s="228" t="str">
        <f>MAPA!A4</f>
        <v xml:space="preserve">DATA : 10/10/2019   </v>
      </c>
      <c r="P62" s="228"/>
      <c r="Q62" s="39"/>
    </row>
    <row r="63" spans="1:18" ht="9.75" customHeight="1" x14ac:dyDescent="0.2">
      <c r="A63" s="229" t="s">
        <v>150</v>
      </c>
      <c r="B63" s="230"/>
      <c r="C63" s="230"/>
      <c r="D63" s="230"/>
      <c r="E63" s="231"/>
      <c r="F63" s="29"/>
      <c r="G63" s="229" t="s">
        <v>150</v>
      </c>
      <c r="H63" s="230"/>
      <c r="I63" s="230"/>
      <c r="J63" s="230"/>
      <c r="K63" s="231"/>
      <c r="L63" s="29"/>
      <c r="M63" s="229" t="s">
        <v>150</v>
      </c>
      <c r="N63" s="230"/>
      <c r="O63" s="230"/>
      <c r="P63" s="230"/>
      <c r="Q63" s="231"/>
    </row>
    <row r="64" spans="1:18" s="34" customFormat="1" ht="9" customHeight="1" x14ac:dyDescent="0.25">
      <c r="A64" s="47" t="s">
        <v>190</v>
      </c>
      <c r="B64" s="48"/>
      <c r="C64" s="48"/>
      <c r="D64" s="48"/>
      <c r="E64" s="61" t="s">
        <v>139</v>
      </c>
      <c r="F64" s="49"/>
      <c r="G64" s="47" t="s">
        <v>190</v>
      </c>
      <c r="H64" s="48"/>
      <c r="I64" s="48"/>
      <c r="J64" s="48"/>
      <c r="K64" s="61" t="s">
        <v>139</v>
      </c>
      <c r="M64" s="47" t="s">
        <v>190</v>
      </c>
      <c r="N64" s="48"/>
      <c r="O64" s="48"/>
      <c r="P64" s="48"/>
      <c r="Q64" s="61" t="s">
        <v>139</v>
      </c>
    </row>
    <row r="65" spans="1:17" s="34" customFormat="1" ht="8.1" customHeight="1" x14ac:dyDescent="0.25">
      <c r="A65" s="50" t="s">
        <v>138</v>
      </c>
      <c r="B65" s="51"/>
      <c r="C65" s="51"/>
      <c r="D65" s="51"/>
      <c r="E65" s="52"/>
      <c r="F65" s="49"/>
      <c r="G65" s="50" t="s">
        <v>138</v>
      </c>
      <c r="H65" s="51"/>
      <c r="I65" s="51"/>
      <c r="J65" s="51"/>
      <c r="K65" s="52"/>
      <c r="M65" s="50" t="s">
        <v>138</v>
      </c>
      <c r="N65" s="51"/>
      <c r="O65" s="51"/>
      <c r="P65" s="51"/>
      <c r="Q65" s="52"/>
    </row>
    <row r="66" spans="1:17" s="24" customFormat="1" ht="9.75" customHeight="1" x14ac:dyDescent="0.2"/>
    <row r="67" spans="1:17" ht="9.75" customHeight="1" thickBot="1" x14ac:dyDescent="0.25">
      <c r="A67" s="26"/>
      <c r="B67" s="26"/>
      <c r="C67" s="26"/>
      <c r="D67" s="26"/>
      <c r="E67" s="26"/>
      <c r="G67" s="26"/>
      <c r="H67" s="26"/>
      <c r="I67" s="26"/>
      <c r="J67" s="26"/>
      <c r="K67" s="26"/>
    </row>
    <row r="68" spans="1:17" ht="9.75" customHeight="1" x14ac:dyDescent="0.2">
      <c r="A68" s="53" t="s">
        <v>132</v>
      </c>
      <c r="B68" s="54" t="str">
        <f>MAPA!A40</f>
        <v>4107 A</v>
      </c>
      <c r="C68" s="55"/>
      <c r="D68" s="56"/>
      <c r="E68" s="57"/>
      <c r="F68" s="29"/>
      <c r="G68" s="53" t="s">
        <v>132</v>
      </c>
      <c r="H68" s="54" t="str">
        <f>MAPA!A41</f>
        <v>4107 B</v>
      </c>
      <c r="I68" s="55"/>
      <c r="J68" s="56"/>
      <c r="K68" s="57"/>
      <c r="L68" s="29"/>
      <c r="M68" s="53" t="s">
        <v>132</v>
      </c>
      <c r="N68" s="54" t="str">
        <f>MAPA!A42</f>
        <v>4107 C</v>
      </c>
      <c r="O68" s="55"/>
      <c r="P68" s="56"/>
      <c r="Q68" s="57"/>
    </row>
    <row r="69" spans="1:17" ht="9.75" customHeight="1" x14ac:dyDescent="0.2">
      <c r="A69" s="40" t="s">
        <v>133</v>
      </c>
      <c r="B69" s="41">
        <f>MAPA!B40</f>
        <v>0</v>
      </c>
      <c r="C69" s="24"/>
      <c r="D69" s="24"/>
      <c r="E69" s="31"/>
      <c r="F69" s="29"/>
      <c r="G69" s="40" t="s">
        <v>133</v>
      </c>
      <c r="H69" s="41">
        <f>MAPA!B41</f>
        <v>0</v>
      </c>
      <c r="I69" s="24"/>
      <c r="J69" s="24"/>
      <c r="K69" s="31"/>
      <c r="L69" s="29"/>
      <c r="M69" s="40" t="s">
        <v>133</v>
      </c>
      <c r="N69" s="41">
        <f>MAPA!B42</f>
        <v>0</v>
      </c>
      <c r="O69" s="24"/>
      <c r="P69" s="24"/>
      <c r="Q69" s="31"/>
    </row>
    <row r="70" spans="1:17" ht="9.75" customHeight="1" x14ac:dyDescent="0.2">
      <c r="A70" s="43">
        <f>MAPA!D40</f>
        <v>0</v>
      </c>
      <c r="B70" s="44" t="s">
        <v>134</v>
      </c>
      <c r="C70" s="45" t="s">
        <v>135</v>
      </c>
      <c r="D70" s="44">
        <f>MAPA!C40</f>
        <v>0</v>
      </c>
      <c r="E70" s="237">
        <f>MAPA!G40</f>
        <v>0</v>
      </c>
      <c r="F70" s="29"/>
      <c r="G70" s="43">
        <f>MAPA!D41</f>
        <v>0</v>
      </c>
      <c r="H70" s="44" t="s">
        <v>134</v>
      </c>
      <c r="I70" s="45" t="s">
        <v>135</v>
      </c>
      <c r="J70" s="44">
        <f>MAPA!C41</f>
        <v>0</v>
      </c>
      <c r="K70" s="31">
        <f>MAPA!G41</f>
        <v>0</v>
      </c>
      <c r="L70" s="29"/>
      <c r="M70" s="43">
        <f>MAPA!D42</f>
        <v>0</v>
      </c>
      <c r="N70" s="44" t="s">
        <v>134</v>
      </c>
      <c r="O70" s="45" t="s">
        <v>135</v>
      </c>
      <c r="P70" s="44">
        <f>MAPA!C42</f>
        <v>0</v>
      </c>
      <c r="Q70" s="31">
        <f>MAPA!G50</f>
        <v>0</v>
      </c>
    </row>
    <row r="71" spans="1:17" ht="9.75" customHeight="1" x14ac:dyDescent="0.2">
      <c r="A71" s="46" t="e">
        <f>MAPA!#REF!</f>
        <v>#REF!</v>
      </c>
      <c r="B71" s="44">
        <f>MAPA!F40</f>
        <v>0</v>
      </c>
      <c r="C71" s="24"/>
      <c r="D71" s="24"/>
      <c r="E71" s="237"/>
      <c r="F71" s="29"/>
      <c r="G71" s="46">
        <f>MAPA!E41</f>
        <v>0</v>
      </c>
      <c r="H71" s="44">
        <f>MAPA!F41</f>
        <v>0</v>
      </c>
      <c r="I71" s="24"/>
      <c r="J71" s="24"/>
      <c r="K71" s="31"/>
      <c r="L71" s="29"/>
      <c r="M71" s="46">
        <f>MAPA!E42</f>
        <v>0</v>
      </c>
      <c r="N71" s="44">
        <f>MAPA!F42</f>
        <v>0</v>
      </c>
      <c r="O71" s="24"/>
      <c r="P71" s="24"/>
      <c r="Q71" s="31"/>
    </row>
    <row r="72" spans="1:17" ht="9.75" customHeight="1" thickBot="1" x14ac:dyDescent="0.25">
      <c r="A72" s="58" t="s">
        <v>137</v>
      </c>
      <c r="B72" s="59" t="s">
        <v>149</v>
      </c>
      <c r="C72" s="59"/>
      <c r="D72" s="59"/>
      <c r="E72" s="60"/>
      <c r="F72" s="29"/>
      <c r="G72" s="58" t="s">
        <v>137</v>
      </c>
      <c r="H72" s="59" t="s">
        <v>149</v>
      </c>
      <c r="I72" s="59"/>
      <c r="J72" s="59"/>
      <c r="K72" s="60"/>
      <c r="L72" s="29"/>
      <c r="M72" s="58" t="s">
        <v>137</v>
      </c>
      <c r="N72" s="59" t="s">
        <v>149</v>
      </c>
      <c r="O72" s="59"/>
      <c r="P72" s="59"/>
      <c r="Q72" s="60"/>
    </row>
    <row r="73" spans="1:17" ht="9.75" customHeight="1" x14ac:dyDescent="0.2">
      <c r="A73" s="232" t="s">
        <v>136</v>
      </c>
      <c r="B73" s="233"/>
      <c r="C73" s="228" t="str">
        <f>MAPA!A4</f>
        <v xml:space="preserve">DATA : 10/10/2019   </v>
      </c>
      <c r="D73" s="228"/>
      <c r="E73" s="39"/>
      <c r="F73" s="29"/>
      <c r="G73" s="232" t="s">
        <v>136</v>
      </c>
      <c r="H73" s="233"/>
      <c r="I73" s="228" t="str">
        <f>MAPA!A4</f>
        <v xml:space="preserve">DATA : 10/10/2019   </v>
      </c>
      <c r="J73" s="228"/>
      <c r="K73" s="39"/>
      <c r="L73" s="29"/>
      <c r="M73" s="232" t="s">
        <v>136</v>
      </c>
      <c r="N73" s="233"/>
      <c r="O73" s="228" t="str">
        <f>MAPA!A4</f>
        <v xml:space="preserve">DATA : 10/10/2019   </v>
      </c>
      <c r="P73" s="228"/>
      <c r="Q73" s="39"/>
    </row>
    <row r="74" spans="1:17" ht="9.75" customHeight="1" x14ac:dyDescent="0.2">
      <c r="A74" s="229" t="s">
        <v>150</v>
      </c>
      <c r="B74" s="230"/>
      <c r="C74" s="230"/>
      <c r="D74" s="230"/>
      <c r="E74" s="231"/>
      <c r="F74" s="29"/>
      <c r="G74" s="229" t="s">
        <v>150</v>
      </c>
      <c r="H74" s="230"/>
      <c r="I74" s="230"/>
      <c r="J74" s="230"/>
      <c r="K74" s="231"/>
      <c r="L74" s="29"/>
      <c r="M74" s="229" t="s">
        <v>150</v>
      </c>
      <c r="N74" s="230"/>
      <c r="O74" s="230"/>
      <c r="P74" s="230"/>
      <c r="Q74" s="231"/>
    </row>
    <row r="75" spans="1:17" s="34" customFormat="1" ht="9" customHeight="1" x14ac:dyDescent="0.25">
      <c r="A75" s="47" t="s">
        <v>190</v>
      </c>
      <c r="B75" s="48"/>
      <c r="C75" s="48"/>
      <c r="D75" s="48"/>
      <c r="E75" s="61" t="s">
        <v>139</v>
      </c>
      <c r="F75" s="49"/>
      <c r="G75" s="47" t="s">
        <v>190</v>
      </c>
      <c r="H75" s="48"/>
      <c r="I75" s="48"/>
      <c r="J75" s="48"/>
      <c r="K75" s="61" t="s">
        <v>139</v>
      </c>
      <c r="M75" s="47" t="s">
        <v>190</v>
      </c>
      <c r="N75" s="48"/>
      <c r="O75" s="48"/>
      <c r="P75" s="48"/>
      <c r="Q75" s="61" t="s">
        <v>139</v>
      </c>
    </row>
    <row r="76" spans="1:17" s="34" customFormat="1" ht="8.1" customHeight="1" x14ac:dyDescent="0.25">
      <c r="A76" s="50" t="s">
        <v>138</v>
      </c>
      <c r="B76" s="51"/>
      <c r="C76" s="51"/>
      <c r="D76" s="51"/>
      <c r="E76" s="52"/>
      <c r="F76" s="49"/>
      <c r="G76" s="50" t="s">
        <v>138</v>
      </c>
      <c r="H76" s="51"/>
      <c r="I76" s="51"/>
      <c r="J76" s="51"/>
      <c r="K76" s="52"/>
      <c r="M76" s="50" t="s">
        <v>138</v>
      </c>
      <c r="N76" s="51"/>
      <c r="O76" s="51"/>
      <c r="P76" s="51"/>
      <c r="Q76" s="52"/>
    </row>
    <row r="77" spans="1:17" s="24" customFormat="1" ht="9.75" customHeight="1" x14ac:dyDescent="0.2"/>
    <row r="78" spans="1:17" ht="9.75" customHeight="1" thickBot="1" x14ac:dyDescent="0.25">
      <c r="A78" s="26"/>
      <c r="B78" s="26"/>
      <c r="C78" s="26"/>
      <c r="D78" s="26"/>
      <c r="E78" s="26"/>
      <c r="G78" s="26"/>
      <c r="H78" s="26"/>
      <c r="I78" s="26"/>
      <c r="J78" s="26"/>
      <c r="K78" s="26"/>
    </row>
    <row r="79" spans="1:17" ht="9.75" customHeight="1" x14ac:dyDescent="0.2">
      <c r="A79" s="53" t="s">
        <v>132</v>
      </c>
      <c r="B79" s="54" t="str">
        <f>MAPA!A43</f>
        <v>4108 A</v>
      </c>
      <c r="C79" s="55"/>
      <c r="D79" s="56"/>
      <c r="E79" s="57"/>
      <c r="F79" s="29"/>
      <c r="G79" s="53" t="s">
        <v>132</v>
      </c>
      <c r="H79" s="54" t="str">
        <f>MAPA!A44</f>
        <v>4108 B</v>
      </c>
      <c r="I79" s="55"/>
      <c r="J79" s="56"/>
      <c r="K79" s="57"/>
      <c r="L79" s="29"/>
      <c r="M79" s="53" t="s">
        <v>132</v>
      </c>
      <c r="N79" s="54" t="str">
        <f>MAPA!A45</f>
        <v>4108 C</v>
      </c>
      <c r="O79" s="55"/>
      <c r="P79" s="56"/>
      <c r="Q79" s="57"/>
    </row>
    <row r="80" spans="1:17" ht="9.75" customHeight="1" x14ac:dyDescent="0.2">
      <c r="A80" s="40" t="s">
        <v>133</v>
      </c>
      <c r="B80" s="41">
        <f>MAPA!B43</f>
        <v>0</v>
      </c>
      <c r="C80" s="24"/>
      <c r="D80" s="24"/>
      <c r="E80" s="31"/>
      <c r="F80" s="29"/>
      <c r="G80" s="40" t="s">
        <v>133</v>
      </c>
      <c r="H80" s="41">
        <f>MAPA!B44</f>
        <v>0</v>
      </c>
      <c r="I80" s="24"/>
      <c r="J80" s="24"/>
      <c r="K80" s="31"/>
      <c r="L80" s="29"/>
      <c r="M80" s="40" t="s">
        <v>133</v>
      </c>
      <c r="N80" s="41">
        <f>MAPA!B45</f>
        <v>0</v>
      </c>
      <c r="O80" s="24"/>
      <c r="P80" s="24"/>
      <c r="Q80" s="31"/>
    </row>
    <row r="81" spans="1:17" ht="9.75" customHeight="1" x14ac:dyDescent="0.2">
      <c r="A81" s="43">
        <f>MAPA!D43</f>
        <v>0</v>
      </c>
      <c r="B81" s="44" t="s">
        <v>134</v>
      </c>
      <c r="C81" s="45" t="s">
        <v>135</v>
      </c>
      <c r="D81" s="44">
        <f>MAPA!C43</f>
        <v>0</v>
      </c>
      <c r="E81" s="31">
        <f>MAPA!G43</f>
        <v>0</v>
      </c>
      <c r="F81" s="29"/>
      <c r="G81" s="43">
        <f>MAPA!D44</f>
        <v>0</v>
      </c>
      <c r="H81" s="44" t="s">
        <v>134</v>
      </c>
      <c r="I81" s="45" t="s">
        <v>135</v>
      </c>
      <c r="J81" s="44">
        <f>MAPA!C44</f>
        <v>0</v>
      </c>
      <c r="K81" s="31">
        <f>MAPA!G44</f>
        <v>0</v>
      </c>
      <c r="L81" s="29"/>
      <c r="M81" s="43">
        <f>MAPA!D45</f>
        <v>0</v>
      </c>
      <c r="N81" s="44" t="s">
        <v>134</v>
      </c>
      <c r="O81" s="45" t="s">
        <v>135</v>
      </c>
      <c r="P81" s="44">
        <f>MAPA!C45</f>
        <v>0</v>
      </c>
      <c r="Q81" s="31">
        <f>MAPA!G45</f>
        <v>0</v>
      </c>
    </row>
    <row r="82" spans="1:17" ht="9.75" customHeight="1" x14ac:dyDescent="0.2">
      <c r="A82" s="46">
        <f>MAPA!E43</f>
        <v>0</v>
      </c>
      <c r="B82" s="44">
        <f>MAPA!F43</f>
        <v>0</v>
      </c>
      <c r="C82" s="24"/>
      <c r="D82" s="24"/>
      <c r="E82" s="31"/>
      <c r="F82" s="29"/>
      <c r="G82" s="46">
        <f>MAPA!E44</f>
        <v>0</v>
      </c>
      <c r="H82" s="44">
        <f>MAPA!F44</f>
        <v>0</v>
      </c>
      <c r="I82" s="24"/>
      <c r="J82" s="24"/>
      <c r="K82" s="31"/>
      <c r="L82" s="29"/>
      <c r="M82" s="46">
        <f>MAPA!E45</f>
        <v>0</v>
      </c>
      <c r="N82" s="44">
        <f>MAPA!F45</f>
        <v>0</v>
      </c>
      <c r="O82" s="24"/>
      <c r="P82" s="24"/>
      <c r="Q82" s="31"/>
    </row>
    <row r="83" spans="1:17" ht="9.75" customHeight="1" thickBot="1" x14ac:dyDescent="0.25">
      <c r="A83" s="58" t="s">
        <v>137</v>
      </c>
      <c r="B83" s="59" t="s">
        <v>149</v>
      </c>
      <c r="C83" s="59"/>
      <c r="D83" s="59"/>
      <c r="E83" s="60"/>
      <c r="F83" s="29"/>
      <c r="G83" s="58" t="s">
        <v>137</v>
      </c>
      <c r="H83" s="59" t="s">
        <v>149</v>
      </c>
      <c r="I83" s="59"/>
      <c r="J83" s="59"/>
      <c r="K83" s="60"/>
      <c r="L83" s="29"/>
      <c r="M83" s="58" t="s">
        <v>137</v>
      </c>
      <c r="N83" s="59" t="s">
        <v>149</v>
      </c>
      <c r="O83" s="59"/>
      <c r="P83" s="59"/>
      <c r="Q83" s="60"/>
    </row>
    <row r="84" spans="1:17" ht="9.75" customHeight="1" x14ac:dyDescent="0.2">
      <c r="A84" s="232" t="s">
        <v>136</v>
      </c>
      <c r="B84" s="233"/>
      <c r="C84" s="228" t="str">
        <f>MAPA!A4</f>
        <v xml:space="preserve">DATA : 10/10/2019   </v>
      </c>
      <c r="D84" s="228"/>
      <c r="E84" s="39"/>
      <c r="F84" s="29"/>
      <c r="G84" s="232" t="s">
        <v>136</v>
      </c>
      <c r="H84" s="233"/>
      <c r="I84" s="228" t="str">
        <f>MAPA!A4</f>
        <v xml:space="preserve">DATA : 10/10/2019   </v>
      </c>
      <c r="J84" s="228"/>
      <c r="K84" s="39"/>
      <c r="L84" s="29"/>
      <c r="M84" s="232" t="s">
        <v>136</v>
      </c>
      <c r="N84" s="233"/>
      <c r="O84" s="228" t="str">
        <f>MAPA!A4</f>
        <v xml:space="preserve">DATA : 10/10/2019   </v>
      </c>
      <c r="P84" s="228"/>
      <c r="Q84" s="39"/>
    </row>
    <row r="85" spans="1:17" ht="9.75" customHeight="1" x14ac:dyDescent="0.2">
      <c r="A85" s="229" t="s">
        <v>150</v>
      </c>
      <c r="B85" s="230"/>
      <c r="C85" s="230"/>
      <c r="D85" s="230"/>
      <c r="E85" s="231"/>
      <c r="F85" s="29"/>
      <c r="G85" s="229" t="s">
        <v>150</v>
      </c>
      <c r="H85" s="230"/>
      <c r="I85" s="230"/>
      <c r="J85" s="230"/>
      <c r="K85" s="231"/>
      <c r="L85" s="29"/>
      <c r="M85" s="229" t="s">
        <v>150</v>
      </c>
      <c r="N85" s="230"/>
      <c r="O85" s="230"/>
      <c r="P85" s="230"/>
      <c r="Q85" s="231"/>
    </row>
    <row r="86" spans="1:17" s="34" customFormat="1" ht="9" customHeight="1" x14ac:dyDescent="0.25">
      <c r="A86" s="47" t="s">
        <v>190</v>
      </c>
      <c r="B86" s="48"/>
      <c r="C86" s="48"/>
      <c r="D86" s="48"/>
      <c r="E86" s="61" t="s">
        <v>139</v>
      </c>
      <c r="F86" s="49"/>
      <c r="G86" s="47" t="s">
        <v>190</v>
      </c>
      <c r="H86" s="48"/>
      <c r="I86" s="48"/>
      <c r="J86" s="48"/>
      <c r="K86" s="61" t="s">
        <v>139</v>
      </c>
      <c r="M86" s="47" t="s">
        <v>190</v>
      </c>
      <c r="N86" s="48"/>
      <c r="O86" s="48"/>
      <c r="P86" s="48"/>
      <c r="Q86" s="61" t="s">
        <v>139</v>
      </c>
    </row>
    <row r="87" spans="1:17" s="34" customFormat="1" ht="8.1" customHeight="1" x14ac:dyDescent="0.25">
      <c r="A87" s="50" t="s">
        <v>138</v>
      </c>
      <c r="B87" s="51"/>
      <c r="C87" s="51"/>
      <c r="D87" s="51"/>
      <c r="E87" s="52"/>
      <c r="F87" s="49"/>
      <c r="G87" s="50" t="s">
        <v>138</v>
      </c>
      <c r="H87" s="51"/>
      <c r="I87" s="51"/>
      <c r="J87" s="51"/>
      <c r="K87" s="52"/>
      <c r="M87" s="50" t="s">
        <v>138</v>
      </c>
      <c r="N87" s="51"/>
      <c r="O87" s="51"/>
      <c r="P87" s="51"/>
      <c r="Q87" s="52"/>
    </row>
    <row r="88" spans="1:17" s="24" customFormat="1" ht="9.75" customHeight="1" x14ac:dyDescent="0.2"/>
    <row r="89" spans="1:17" ht="9.75" customHeight="1" thickBot="1" x14ac:dyDescent="0.25">
      <c r="A89" s="26"/>
      <c r="B89" s="26"/>
      <c r="C89" s="26"/>
      <c r="D89" s="26"/>
      <c r="E89" s="26"/>
      <c r="G89" s="26"/>
      <c r="H89" s="26"/>
      <c r="I89" s="26"/>
      <c r="J89" s="26"/>
      <c r="K89" s="26"/>
    </row>
    <row r="90" spans="1:17" ht="9.75" customHeight="1" x14ac:dyDescent="0.2">
      <c r="A90" s="53" t="s">
        <v>132</v>
      </c>
      <c r="B90" s="54" t="str">
        <f>MAPA!A46</f>
        <v>4109 A</v>
      </c>
      <c r="C90" s="55"/>
      <c r="D90" s="56"/>
      <c r="E90" s="57"/>
      <c r="F90" s="29"/>
      <c r="G90" s="53" t="s">
        <v>132</v>
      </c>
      <c r="H90" s="54" t="str">
        <f>MAPA!A47</f>
        <v>4109 B</v>
      </c>
      <c r="I90" s="55"/>
      <c r="J90" s="56"/>
      <c r="K90" s="57"/>
      <c r="L90" s="29"/>
      <c r="M90" s="53" t="s">
        <v>132</v>
      </c>
      <c r="N90" s="54" t="str">
        <f>MAPA!A48</f>
        <v>4109 C</v>
      </c>
      <c r="O90" s="55"/>
      <c r="P90" s="56"/>
      <c r="Q90" s="57"/>
    </row>
    <row r="91" spans="1:17" ht="9.75" customHeight="1" x14ac:dyDescent="0.2">
      <c r="A91" s="40" t="s">
        <v>133</v>
      </c>
      <c r="B91" s="41">
        <f>MAPA!B46</f>
        <v>0</v>
      </c>
      <c r="C91" s="24"/>
      <c r="D91" s="24"/>
      <c r="E91" s="31"/>
      <c r="F91" s="29"/>
      <c r="G91" s="40" t="s">
        <v>133</v>
      </c>
      <c r="H91" s="41">
        <f>MAPA!B47</f>
        <v>0</v>
      </c>
      <c r="I91" s="24"/>
      <c r="J91" s="24"/>
      <c r="K91" s="31"/>
      <c r="L91" s="29"/>
      <c r="M91" s="40" t="s">
        <v>133</v>
      </c>
      <c r="N91" s="41">
        <f>MAPA!B48</f>
        <v>0</v>
      </c>
      <c r="O91" s="24"/>
      <c r="P91" s="24"/>
      <c r="Q91" s="31"/>
    </row>
    <row r="92" spans="1:17" ht="9.75" customHeight="1" x14ac:dyDescent="0.2">
      <c r="A92" s="43">
        <f>MAPA!D46</f>
        <v>0</v>
      </c>
      <c r="B92" s="44" t="s">
        <v>134</v>
      </c>
      <c r="C92" s="45" t="s">
        <v>135</v>
      </c>
      <c r="D92" s="44">
        <f>MAPA!C46</f>
        <v>0</v>
      </c>
      <c r="E92" s="31">
        <f>MAPA!G46</f>
        <v>0</v>
      </c>
      <c r="F92" s="29"/>
      <c r="G92" s="43">
        <f>MAPA!D47</f>
        <v>0</v>
      </c>
      <c r="H92" s="44" t="s">
        <v>134</v>
      </c>
      <c r="I92" s="45" t="s">
        <v>135</v>
      </c>
      <c r="J92" s="44">
        <f>MAPA!C47</f>
        <v>0</v>
      </c>
      <c r="K92" s="31">
        <f>MAPA!G47</f>
        <v>0</v>
      </c>
      <c r="L92" s="29"/>
      <c r="M92" s="43">
        <f>MAPA!D48</f>
        <v>0</v>
      </c>
      <c r="N92" s="44" t="s">
        <v>134</v>
      </c>
      <c r="O92" s="45" t="s">
        <v>135</v>
      </c>
      <c r="P92" s="44">
        <f>MAPA!C48</f>
        <v>0</v>
      </c>
      <c r="Q92" s="31">
        <f>MAPA!G48</f>
        <v>0</v>
      </c>
    </row>
    <row r="93" spans="1:17" ht="9.75" customHeight="1" x14ac:dyDescent="0.2">
      <c r="A93" s="46" t="str">
        <f>MAPA!E46</f>
        <v>-</v>
      </c>
      <c r="B93" s="44">
        <f>MAPA!F46</f>
        <v>0</v>
      </c>
      <c r="C93" s="24"/>
      <c r="D93" s="24"/>
      <c r="E93" s="31"/>
      <c r="F93" s="29"/>
      <c r="G93" s="46" t="str">
        <f>MAPA!E47</f>
        <v>-</v>
      </c>
      <c r="H93" s="44">
        <f>MAPA!F47</f>
        <v>0</v>
      </c>
      <c r="I93" s="24"/>
      <c r="J93" s="24"/>
      <c r="K93" s="31"/>
      <c r="L93" s="29"/>
      <c r="M93" s="46" t="str">
        <f>MAPA!E48</f>
        <v>-</v>
      </c>
      <c r="N93" s="44">
        <f>MAPA!F48</f>
        <v>0</v>
      </c>
      <c r="O93" s="24"/>
      <c r="P93" s="24"/>
      <c r="Q93" s="31"/>
    </row>
    <row r="94" spans="1:17" ht="9.75" customHeight="1" thickBot="1" x14ac:dyDescent="0.25">
      <c r="A94" s="58" t="s">
        <v>137</v>
      </c>
      <c r="B94" s="59" t="s">
        <v>149</v>
      </c>
      <c r="C94" s="59"/>
      <c r="D94" s="59"/>
      <c r="E94" s="60"/>
      <c r="F94" s="29"/>
      <c r="G94" s="58" t="s">
        <v>137</v>
      </c>
      <c r="H94" s="59" t="s">
        <v>149</v>
      </c>
      <c r="I94" s="59"/>
      <c r="J94" s="59"/>
      <c r="K94" s="60"/>
      <c r="L94" s="29"/>
      <c r="M94" s="58" t="s">
        <v>137</v>
      </c>
      <c r="N94" s="59" t="s">
        <v>149</v>
      </c>
      <c r="O94" s="59"/>
      <c r="P94" s="59"/>
      <c r="Q94" s="60"/>
    </row>
    <row r="95" spans="1:17" ht="9.75" customHeight="1" x14ac:dyDescent="0.2">
      <c r="A95" s="232" t="s">
        <v>136</v>
      </c>
      <c r="B95" s="233"/>
      <c r="C95" s="228" t="str">
        <f>MAPA!A4</f>
        <v xml:space="preserve">DATA : 10/10/2019   </v>
      </c>
      <c r="D95" s="228"/>
      <c r="E95" s="39"/>
      <c r="F95" s="29"/>
      <c r="G95" s="232" t="s">
        <v>136</v>
      </c>
      <c r="H95" s="233"/>
      <c r="I95" s="228" t="str">
        <f>MAPA!A4</f>
        <v xml:space="preserve">DATA : 10/10/2019   </v>
      </c>
      <c r="J95" s="228"/>
      <c r="K95" s="39"/>
      <c r="L95" s="29"/>
      <c r="M95" s="232" t="s">
        <v>136</v>
      </c>
      <c r="N95" s="233"/>
      <c r="O95" s="228" t="str">
        <f>MAPA!A4</f>
        <v xml:space="preserve">DATA : 10/10/2019   </v>
      </c>
      <c r="P95" s="228"/>
      <c r="Q95" s="39"/>
    </row>
    <row r="96" spans="1:17" ht="9.75" customHeight="1" x14ac:dyDescent="0.2">
      <c r="A96" s="229" t="s">
        <v>150</v>
      </c>
      <c r="B96" s="230"/>
      <c r="C96" s="230"/>
      <c r="D96" s="230"/>
      <c r="E96" s="231"/>
      <c r="F96" s="29"/>
      <c r="G96" s="229" t="s">
        <v>150</v>
      </c>
      <c r="H96" s="230"/>
      <c r="I96" s="230"/>
      <c r="J96" s="230"/>
      <c r="K96" s="231"/>
      <c r="L96" s="29"/>
      <c r="M96" s="229" t="s">
        <v>150</v>
      </c>
      <c r="N96" s="230"/>
      <c r="O96" s="230"/>
      <c r="P96" s="230"/>
      <c r="Q96" s="231"/>
    </row>
    <row r="97" spans="1:17" s="34" customFormat="1" ht="9" customHeight="1" x14ac:dyDescent="0.25">
      <c r="A97" s="47" t="s">
        <v>190</v>
      </c>
      <c r="B97" s="48"/>
      <c r="C97" s="48"/>
      <c r="D97" s="48"/>
      <c r="E97" s="61" t="s">
        <v>139</v>
      </c>
      <c r="F97" s="49"/>
      <c r="G97" s="47" t="s">
        <v>190</v>
      </c>
      <c r="H97" s="48"/>
      <c r="I97" s="48"/>
      <c r="J97" s="48"/>
      <c r="K97" s="61" t="s">
        <v>139</v>
      </c>
      <c r="M97" s="47" t="s">
        <v>190</v>
      </c>
      <c r="N97" s="48"/>
      <c r="O97" s="48"/>
      <c r="P97" s="48"/>
      <c r="Q97" s="61" t="s">
        <v>139</v>
      </c>
    </row>
    <row r="98" spans="1:17" s="34" customFormat="1" ht="8.1" customHeight="1" x14ac:dyDescent="0.25">
      <c r="A98" s="50" t="s">
        <v>138</v>
      </c>
      <c r="B98" s="51"/>
      <c r="C98" s="51"/>
      <c r="D98" s="51"/>
      <c r="E98" s="52"/>
      <c r="F98" s="49"/>
      <c r="G98" s="50" t="s">
        <v>138</v>
      </c>
      <c r="H98" s="51"/>
      <c r="I98" s="51"/>
      <c r="J98" s="51"/>
      <c r="K98" s="52"/>
      <c r="M98" s="50" t="s">
        <v>138</v>
      </c>
      <c r="N98" s="51"/>
      <c r="O98" s="51"/>
      <c r="P98" s="51"/>
      <c r="Q98" s="52"/>
    </row>
    <row r="99" spans="1:17" s="24" customFormat="1" ht="9.75" customHeight="1" x14ac:dyDescent="0.2"/>
    <row r="100" spans="1:17" ht="9.75" customHeight="1" thickBot="1" x14ac:dyDescent="0.25">
      <c r="A100" s="26"/>
      <c r="B100" s="26"/>
      <c r="C100" s="26"/>
      <c r="D100" s="26"/>
      <c r="E100" s="26"/>
      <c r="G100" s="26"/>
      <c r="H100" s="26"/>
      <c r="I100" s="26"/>
      <c r="J100" s="26"/>
      <c r="K100" s="26"/>
    </row>
    <row r="101" spans="1:17" ht="9.75" customHeight="1" x14ac:dyDescent="0.2">
      <c r="A101" s="53" t="s">
        <v>132</v>
      </c>
      <c r="B101" s="54" t="str">
        <f>MAPA!A49</f>
        <v>4110 A</v>
      </c>
      <c r="C101" s="55"/>
      <c r="D101" s="56"/>
      <c r="E101" s="57"/>
      <c r="F101" s="29"/>
      <c r="G101" s="53" t="s">
        <v>132</v>
      </c>
      <c r="H101" s="54" t="str">
        <f>MAPA!A50</f>
        <v>4110 B</v>
      </c>
      <c r="I101" s="55"/>
      <c r="J101" s="56"/>
      <c r="K101" s="57"/>
      <c r="L101" s="29"/>
      <c r="M101" s="53" t="s">
        <v>132</v>
      </c>
      <c r="N101" s="54" t="str">
        <f>MAPA!A51</f>
        <v>4110 C</v>
      </c>
      <c r="O101" s="55"/>
      <c r="P101" s="56"/>
      <c r="Q101" s="57"/>
    </row>
    <row r="102" spans="1:17" ht="9.75" customHeight="1" x14ac:dyDescent="0.2">
      <c r="A102" s="40" t="s">
        <v>133</v>
      </c>
      <c r="B102" s="41" t="str">
        <f>MAPA!B49</f>
        <v>MURILO SILVEIRA, 6A</v>
      </c>
      <c r="C102" s="24"/>
      <c r="D102" s="24"/>
      <c r="E102" s="31"/>
      <c r="F102" s="29"/>
      <c r="G102" s="40" t="s">
        <v>133</v>
      </c>
      <c r="H102" s="41">
        <f>MAPA!B50</f>
        <v>0</v>
      </c>
      <c r="I102" s="24"/>
      <c r="J102" s="24"/>
      <c r="K102" s="31"/>
      <c r="L102" s="29"/>
      <c r="M102" s="40" t="s">
        <v>133</v>
      </c>
      <c r="N102" s="41" t="e">
        <f>MAPA!#REF!</f>
        <v>#REF!</v>
      </c>
      <c r="O102" s="24"/>
      <c r="P102" s="24"/>
      <c r="Q102" s="31"/>
    </row>
    <row r="103" spans="1:17" ht="9.75" customHeight="1" x14ac:dyDescent="0.2">
      <c r="A103" s="43">
        <f>MAPA!D49</f>
        <v>200</v>
      </c>
      <c r="B103" s="44" t="s">
        <v>134</v>
      </c>
      <c r="C103" s="45" t="s">
        <v>135</v>
      </c>
      <c r="D103" s="44" t="str">
        <f>MAPA!C49</f>
        <v>VO</v>
      </c>
      <c r="E103" s="31" t="str">
        <f>MAPA!G49</f>
        <v>7:30, 21H</v>
      </c>
      <c r="F103" s="29"/>
      <c r="G103" s="43">
        <f>MAPA!D50</f>
        <v>0</v>
      </c>
      <c r="H103" s="44" t="s">
        <v>134</v>
      </c>
      <c r="I103" s="45" t="s">
        <v>135</v>
      </c>
      <c r="J103" s="44">
        <f>MAPA!C50</f>
        <v>0</v>
      </c>
      <c r="K103" s="31">
        <f>MAPA!G50</f>
        <v>0</v>
      </c>
      <c r="L103" s="29"/>
      <c r="M103" s="43">
        <f>MAPA!D51</f>
        <v>0</v>
      </c>
      <c r="N103" s="44" t="s">
        <v>134</v>
      </c>
      <c r="O103" s="45" t="s">
        <v>135</v>
      </c>
      <c r="P103" s="44">
        <f>MAPA!C51</f>
        <v>0</v>
      </c>
      <c r="Q103" s="31">
        <f>MAPA!G51</f>
        <v>0</v>
      </c>
    </row>
    <row r="104" spans="1:17" ht="9.75" customHeight="1" x14ac:dyDescent="0.2">
      <c r="A104" s="46">
        <f>MAPA!E49</f>
        <v>0</v>
      </c>
      <c r="B104" s="44" t="str">
        <f>MAPA!F49</f>
        <v>LV+MUCILON</v>
      </c>
      <c r="C104" s="24"/>
      <c r="D104" s="24"/>
      <c r="E104" s="31"/>
      <c r="F104" s="29"/>
      <c r="G104" s="46">
        <f>MAPA!E50</f>
        <v>0</v>
      </c>
      <c r="H104" s="44">
        <f>MAPA!F50</f>
        <v>0</v>
      </c>
      <c r="I104" s="24"/>
      <c r="J104" s="24"/>
      <c r="K104" s="31"/>
      <c r="L104" s="29"/>
      <c r="M104" s="46">
        <f>MAPA!E51</f>
        <v>0</v>
      </c>
      <c r="N104" s="44">
        <f>MAPA!F51</f>
        <v>0</v>
      </c>
      <c r="O104" s="24"/>
      <c r="P104" s="24"/>
      <c r="Q104" s="31"/>
    </row>
    <row r="105" spans="1:17" ht="9.75" customHeight="1" thickBot="1" x14ac:dyDescent="0.25">
      <c r="A105" s="58" t="s">
        <v>137</v>
      </c>
      <c r="B105" s="59" t="s">
        <v>149</v>
      </c>
      <c r="C105" s="59"/>
      <c r="D105" s="59"/>
      <c r="E105" s="60"/>
      <c r="F105" s="29"/>
      <c r="G105" s="58" t="s">
        <v>137</v>
      </c>
      <c r="H105" s="59" t="s">
        <v>149</v>
      </c>
      <c r="I105" s="59"/>
      <c r="J105" s="59"/>
      <c r="K105" s="60"/>
      <c r="L105" s="29"/>
      <c r="M105" s="58" t="s">
        <v>137</v>
      </c>
      <c r="N105" s="59" t="s">
        <v>149</v>
      </c>
      <c r="O105" s="59"/>
      <c r="P105" s="59"/>
      <c r="Q105" s="60"/>
    </row>
    <row r="106" spans="1:17" ht="9.75" customHeight="1" x14ac:dyDescent="0.2">
      <c r="A106" s="232" t="s">
        <v>136</v>
      </c>
      <c r="B106" s="233"/>
      <c r="C106" s="228" t="str">
        <f>MAPA!A4</f>
        <v xml:space="preserve">DATA : 10/10/2019   </v>
      </c>
      <c r="D106" s="228"/>
      <c r="E106" s="39"/>
      <c r="F106" s="29"/>
      <c r="G106" s="232" t="s">
        <v>136</v>
      </c>
      <c r="H106" s="233"/>
      <c r="I106" s="228" t="str">
        <f>MAPA!A4</f>
        <v xml:space="preserve">DATA : 10/10/2019   </v>
      </c>
      <c r="J106" s="228"/>
      <c r="K106" s="39"/>
      <c r="L106" s="29"/>
      <c r="M106" s="232" t="s">
        <v>136</v>
      </c>
      <c r="N106" s="233"/>
      <c r="O106" s="228" t="str">
        <f>MAPA!A4</f>
        <v xml:space="preserve">DATA : 10/10/2019   </v>
      </c>
      <c r="P106" s="228"/>
      <c r="Q106" s="39"/>
    </row>
    <row r="107" spans="1:17" ht="9.75" customHeight="1" x14ac:dyDescent="0.2">
      <c r="A107" s="229" t="s">
        <v>150</v>
      </c>
      <c r="B107" s="230"/>
      <c r="C107" s="230"/>
      <c r="D107" s="230"/>
      <c r="E107" s="231"/>
      <c r="F107" s="29"/>
      <c r="G107" s="229" t="s">
        <v>150</v>
      </c>
      <c r="H107" s="230"/>
      <c r="I107" s="230"/>
      <c r="J107" s="230"/>
      <c r="K107" s="231"/>
      <c r="L107" s="29"/>
      <c r="M107" s="229" t="s">
        <v>150</v>
      </c>
      <c r="N107" s="230"/>
      <c r="O107" s="230"/>
      <c r="P107" s="230"/>
      <c r="Q107" s="231"/>
    </row>
    <row r="108" spans="1:17" s="34" customFormat="1" ht="9" customHeight="1" x14ac:dyDescent="0.25">
      <c r="A108" s="47" t="s">
        <v>190</v>
      </c>
      <c r="B108" s="48"/>
      <c r="C108" s="48"/>
      <c r="D108" s="48"/>
      <c r="E108" s="61" t="s">
        <v>139</v>
      </c>
      <c r="F108" s="49"/>
      <c r="G108" s="47" t="s">
        <v>190</v>
      </c>
      <c r="H108" s="48"/>
      <c r="I108" s="48"/>
      <c r="J108" s="48"/>
      <c r="K108" s="61" t="s">
        <v>139</v>
      </c>
      <c r="M108" s="47" t="s">
        <v>190</v>
      </c>
      <c r="N108" s="48"/>
      <c r="O108" s="48"/>
      <c r="P108" s="48"/>
      <c r="Q108" s="61" t="s">
        <v>139</v>
      </c>
    </row>
    <row r="109" spans="1:17" s="34" customFormat="1" ht="8.1" customHeight="1" x14ac:dyDescent="0.25">
      <c r="A109" s="50" t="s">
        <v>138</v>
      </c>
      <c r="B109" s="51"/>
      <c r="C109" s="51"/>
      <c r="D109" s="51"/>
      <c r="E109" s="52"/>
      <c r="F109" s="49"/>
      <c r="G109" s="50" t="s">
        <v>138</v>
      </c>
      <c r="H109" s="51"/>
      <c r="I109" s="51"/>
      <c r="J109" s="51"/>
      <c r="K109" s="52"/>
      <c r="M109" s="50" t="s">
        <v>138</v>
      </c>
      <c r="N109" s="51"/>
      <c r="O109" s="51"/>
      <c r="P109" s="51"/>
      <c r="Q109" s="52"/>
    </row>
    <row r="110" spans="1:17" s="24" customFormat="1" ht="9.75" customHeight="1" x14ac:dyDescent="0.2"/>
    <row r="111" spans="1:17" ht="9.75" customHeight="1" thickBot="1" x14ac:dyDescent="0.25"/>
    <row r="112" spans="1:17" ht="9.75" customHeight="1" x14ac:dyDescent="0.2">
      <c r="A112" s="53" t="s">
        <v>132</v>
      </c>
      <c r="B112" s="54" t="str">
        <f>MAPA!A52</f>
        <v>4111 A</v>
      </c>
      <c r="C112" s="55"/>
      <c r="D112" s="56"/>
      <c r="E112" s="57"/>
      <c r="F112" s="29"/>
      <c r="G112" s="53" t="s">
        <v>132</v>
      </c>
      <c r="H112" s="54" t="str">
        <f>MAPA!A53</f>
        <v>4111 B</v>
      </c>
      <c r="I112" s="55"/>
      <c r="J112" s="56"/>
      <c r="K112" s="57"/>
      <c r="L112" s="29"/>
      <c r="M112" s="53" t="s">
        <v>132</v>
      </c>
      <c r="N112" s="54" t="str">
        <f>MAPA!A54</f>
        <v>4111 C</v>
      </c>
      <c r="O112" s="55"/>
      <c r="P112" s="56"/>
      <c r="Q112" s="57"/>
    </row>
    <row r="113" spans="1:17" ht="9.75" customHeight="1" x14ac:dyDescent="0.2">
      <c r="A113" s="40" t="s">
        <v>133</v>
      </c>
      <c r="B113" s="41" t="str">
        <f>MAPA!B52</f>
        <v>AGATHA GABRIELE DA COSTA, 1A8M</v>
      </c>
      <c r="C113" s="24"/>
      <c r="D113" s="24"/>
      <c r="E113" s="31"/>
      <c r="F113" s="29"/>
      <c r="G113" s="40" t="s">
        <v>133</v>
      </c>
      <c r="H113" s="41">
        <f>MAPA!B53</f>
        <v>0</v>
      </c>
      <c r="I113" s="24"/>
      <c r="J113" s="24"/>
      <c r="K113" s="31"/>
      <c r="L113" s="29"/>
      <c r="M113" s="40" t="s">
        <v>133</v>
      </c>
      <c r="N113" s="41">
        <f>MAPA!B54</f>
        <v>0</v>
      </c>
      <c r="O113" s="24"/>
      <c r="P113" s="24"/>
      <c r="Q113" s="31"/>
    </row>
    <row r="114" spans="1:17" ht="9.75" customHeight="1" x14ac:dyDescent="0.2">
      <c r="A114" s="43">
        <f>MAPA!D52</f>
        <v>100</v>
      </c>
      <c r="B114" s="44" t="s">
        <v>134</v>
      </c>
      <c r="C114" s="45" t="s">
        <v>135</v>
      </c>
      <c r="D114" s="44" t="str">
        <f>MAPA!C52</f>
        <v>SNE</v>
      </c>
      <c r="E114" s="31" t="str">
        <f>MAPA!G52</f>
        <v>3/3H (-3H-24H)</v>
      </c>
      <c r="F114" s="29"/>
      <c r="G114" s="43">
        <f>MAPA!D53</f>
        <v>0</v>
      </c>
      <c r="H114" s="44" t="s">
        <v>134</v>
      </c>
      <c r="I114" s="45" t="s">
        <v>135</v>
      </c>
      <c r="J114" s="44">
        <f>MAPA!C53</f>
        <v>0</v>
      </c>
      <c r="K114" s="31">
        <f>MAPA!G53</f>
        <v>0</v>
      </c>
      <c r="L114" s="29"/>
      <c r="M114" s="65">
        <f>MAPA!D54</f>
        <v>0</v>
      </c>
      <c r="N114" s="44" t="s">
        <v>134</v>
      </c>
      <c r="O114" s="45" t="s">
        <v>135</v>
      </c>
      <c r="P114" s="44">
        <f>MAPA!C54</f>
        <v>0</v>
      </c>
      <c r="Q114" s="31">
        <f>MAPA!G54</f>
        <v>0</v>
      </c>
    </row>
    <row r="115" spans="1:17" ht="9.75" customHeight="1" x14ac:dyDescent="0.2">
      <c r="A115" s="46">
        <f>MAPA!E52</f>
        <v>0</v>
      </c>
      <c r="B115" s="44" t="str">
        <f>MAPA!F52</f>
        <v>FORTINI (18,3%)</v>
      </c>
      <c r="C115" s="24"/>
      <c r="D115" s="24"/>
      <c r="E115" s="31"/>
      <c r="F115" s="29"/>
      <c r="G115" s="46" t="str">
        <f>MAPA!E53</f>
        <v>-</v>
      </c>
      <c r="H115" s="44">
        <f>MAPA!F53</f>
        <v>0</v>
      </c>
      <c r="I115" s="24"/>
      <c r="J115" s="24"/>
      <c r="K115" s="31"/>
      <c r="L115" s="29"/>
      <c r="M115" s="46" t="str">
        <f>MAPA!E54</f>
        <v>-</v>
      </c>
      <c r="N115" s="44">
        <f>MAPA!F54</f>
        <v>0</v>
      </c>
      <c r="O115" s="24"/>
      <c r="P115" s="24"/>
      <c r="Q115" s="31"/>
    </row>
    <row r="116" spans="1:17" ht="9.75" customHeight="1" thickBot="1" x14ac:dyDescent="0.25">
      <c r="A116" s="58" t="s">
        <v>137</v>
      </c>
      <c r="B116" s="59" t="s">
        <v>149</v>
      </c>
      <c r="C116" s="59"/>
      <c r="D116" s="59"/>
      <c r="E116" s="60"/>
      <c r="F116" s="29"/>
      <c r="G116" s="58" t="s">
        <v>137</v>
      </c>
      <c r="H116" s="59" t="s">
        <v>149</v>
      </c>
      <c r="I116" s="59"/>
      <c r="J116" s="59"/>
      <c r="K116" s="60"/>
      <c r="L116" s="29"/>
      <c r="M116" s="58" t="s">
        <v>137</v>
      </c>
      <c r="N116" s="59" t="s">
        <v>149</v>
      </c>
      <c r="O116" s="59"/>
      <c r="P116" s="59"/>
      <c r="Q116" s="60"/>
    </row>
    <row r="117" spans="1:17" ht="9.75" customHeight="1" x14ac:dyDescent="0.2">
      <c r="A117" s="232" t="s">
        <v>136</v>
      </c>
      <c r="B117" s="233"/>
      <c r="C117" s="228" t="str">
        <f>MAPA!A4</f>
        <v xml:space="preserve">DATA : 10/10/2019   </v>
      </c>
      <c r="D117" s="228"/>
      <c r="E117" s="39"/>
      <c r="F117" s="29"/>
      <c r="G117" s="232" t="s">
        <v>136</v>
      </c>
      <c r="H117" s="233"/>
      <c r="I117" s="228" t="str">
        <f>MAPA!A4</f>
        <v xml:space="preserve">DATA : 10/10/2019   </v>
      </c>
      <c r="J117" s="228"/>
      <c r="K117" s="39"/>
      <c r="L117" s="29"/>
      <c r="M117" s="232" t="s">
        <v>136</v>
      </c>
      <c r="N117" s="233"/>
      <c r="O117" s="228" t="str">
        <f>MAPA!A4</f>
        <v xml:space="preserve">DATA : 10/10/2019   </v>
      </c>
      <c r="P117" s="228"/>
      <c r="Q117" s="39"/>
    </row>
    <row r="118" spans="1:17" ht="10.5" customHeight="1" x14ac:dyDescent="0.2">
      <c r="A118" s="229" t="s">
        <v>150</v>
      </c>
      <c r="B118" s="230"/>
      <c r="C118" s="230"/>
      <c r="D118" s="230"/>
      <c r="E118" s="231"/>
      <c r="F118" s="29"/>
      <c r="G118" s="229" t="s">
        <v>150</v>
      </c>
      <c r="H118" s="230"/>
      <c r="I118" s="230"/>
      <c r="J118" s="230"/>
      <c r="K118" s="231"/>
      <c r="L118" s="29"/>
      <c r="M118" s="229" t="s">
        <v>150</v>
      </c>
      <c r="N118" s="230"/>
      <c r="O118" s="230"/>
      <c r="P118" s="230"/>
      <c r="Q118" s="231"/>
    </row>
    <row r="119" spans="1:17" s="34" customFormat="1" ht="9" customHeight="1" x14ac:dyDescent="0.25">
      <c r="A119" s="47" t="s">
        <v>190</v>
      </c>
      <c r="B119" s="48"/>
      <c r="C119" s="48"/>
      <c r="D119" s="48"/>
      <c r="E119" s="61" t="s">
        <v>139</v>
      </c>
      <c r="F119" s="49"/>
      <c r="G119" s="47" t="s">
        <v>190</v>
      </c>
      <c r="H119" s="48"/>
      <c r="I119" s="48"/>
      <c r="J119" s="48"/>
      <c r="K119" s="61" t="s">
        <v>139</v>
      </c>
      <c r="M119" s="47" t="s">
        <v>190</v>
      </c>
      <c r="N119" s="48"/>
      <c r="O119" s="48"/>
      <c r="P119" s="48"/>
      <c r="Q119" s="61" t="s">
        <v>139</v>
      </c>
    </row>
    <row r="120" spans="1:17" s="34" customFormat="1" ht="8.1" customHeight="1" x14ac:dyDescent="0.25">
      <c r="A120" s="50" t="s">
        <v>138</v>
      </c>
      <c r="B120" s="51"/>
      <c r="C120" s="51"/>
      <c r="D120" s="51"/>
      <c r="E120" s="52"/>
      <c r="F120" s="49"/>
      <c r="G120" s="50" t="s">
        <v>138</v>
      </c>
      <c r="H120" s="51"/>
      <c r="I120" s="51"/>
      <c r="J120" s="51"/>
      <c r="K120" s="52"/>
      <c r="M120" s="50" t="s">
        <v>138</v>
      </c>
      <c r="N120" s="51"/>
      <c r="O120" s="51"/>
      <c r="P120" s="51"/>
      <c r="Q120" s="52"/>
    </row>
    <row r="121" spans="1:17" s="24" customFormat="1" ht="9.75" customHeight="1" x14ac:dyDescent="0.2"/>
    <row r="122" spans="1:17" ht="9.75" customHeight="1" thickBot="1" x14ac:dyDescent="0.25"/>
    <row r="123" spans="1:17" ht="9.75" customHeight="1" x14ac:dyDescent="0.2">
      <c r="A123" s="53" t="s">
        <v>132</v>
      </c>
      <c r="B123" s="54" t="str">
        <f>MAPA!A55</f>
        <v>4112 A</v>
      </c>
      <c r="C123" s="55"/>
      <c r="D123" s="56"/>
      <c r="E123" s="57"/>
      <c r="F123" s="29"/>
      <c r="G123" s="53" t="s">
        <v>132</v>
      </c>
      <c r="H123" s="54" t="str">
        <f>MAPA!A56</f>
        <v>4112 B</v>
      </c>
      <c r="I123" s="55"/>
      <c r="J123" s="56"/>
      <c r="K123" s="57"/>
      <c r="L123" s="29"/>
      <c r="M123" s="53" t="s">
        <v>132</v>
      </c>
      <c r="N123" s="54" t="str">
        <f>MAPA!A57</f>
        <v>4112 C</v>
      </c>
      <c r="O123" s="55"/>
      <c r="P123" s="56"/>
      <c r="Q123" s="57"/>
    </row>
    <row r="124" spans="1:17" ht="9.75" customHeight="1" x14ac:dyDescent="0.2">
      <c r="A124" s="40" t="s">
        <v>133</v>
      </c>
      <c r="B124" s="41" t="str">
        <f>MAPA!B55</f>
        <v>MARIA FLOR KIELING DA ROSA, 1A7M</v>
      </c>
      <c r="C124" s="24"/>
      <c r="D124" s="24"/>
      <c r="E124" s="31"/>
      <c r="F124" s="29"/>
      <c r="G124" s="40" t="s">
        <v>133</v>
      </c>
      <c r="H124" s="41">
        <f>MAPA!B56</f>
        <v>0</v>
      </c>
      <c r="I124" s="24"/>
      <c r="J124" s="24"/>
      <c r="K124" s="31"/>
      <c r="L124" s="29"/>
      <c r="M124" s="40" t="s">
        <v>133</v>
      </c>
      <c r="N124" s="41">
        <f>MAPA!B57</f>
        <v>0</v>
      </c>
      <c r="O124" s="24"/>
      <c r="P124" s="24"/>
      <c r="Q124" s="31"/>
    </row>
    <row r="125" spans="1:17" ht="9.75" customHeight="1" x14ac:dyDescent="0.2">
      <c r="A125" s="43">
        <f>MAPA!D55</f>
        <v>100</v>
      </c>
      <c r="B125" s="44" t="s">
        <v>134</v>
      </c>
      <c r="C125" s="45" t="s">
        <v>135</v>
      </c>
      <c r="D125" s="44" t="str">
        <f>MAPA!C55</f>
        <v>SNE</v>
      </c>
      <c r="E125" s="31" t="str">
        <f>MAPA!G55</f>
        <v>3/3h (-3H)</v>
      </c>
      <c r="F125" s="29"/>
      <c r="G125" s="43">
        <f>MAPA!D56</f>
        <v>0</v>
      </c>
      <c r="H125" s="44" t="s">
        <v>134</v>
      </c>
      <c r="I125" s="45" t="s">
        <v>135</v>
      </c>
      <c r="J125" s="44">
        <f>MAPA!C56</f>
        <v>0</v>
      </c>
      <c r="K125" s="31">
        <f>MAPA!G56</f>
        <v>0</v>
      </c>
      <c r="L125" s="29"/>
      <c r="M125" s="43">
        <f>MAPA!D57</f>
        <v>0</v>
      </c>
      <c r="N125" s="44" t="s">
        <v>134</v>
      </c>
      <c r="O125" s="45" t="s">
        <v>135</v>
      </c>
      <c r="P125" s="44">
        <f>MAPA!C57</f>
        <v>0</v>
      </c>
      <c r="Q125" s="31">
        <f>MAPA!G57</f>
        <v>0</v>
      </c>
    </row>
    <row r="126" spans="1:17" ht="9.75" customHeight="1" x14ac:dyDescent="0.2">
      <c r="A126" s="46">
        <f>MAPA!E55</f>
        <v>0</v>
      </c>
      <c r="B126" s="44" t="str">
        <f>MAPA!F55</f>
        <v>FORTINI (20,3%)</v>
      </c>
      <c r="C126" s="24"/>
      <c r="D126" s="24"/>
      <c r="E126" s="31"/>
      <c r="F126" s="29"/>
      <c r="G126" s="46" t="str">
        <f>MAPA!E56</f>
        <v>-</v>
      </c>
      <c r="H126" s="44">
        <f>MAPA!F56</f>
        <v>0</v>
      </c>
      <c r="I126" s="24"/>
      <c r="J126" s="24"/>
      <c r="K126" s="31"/>
      <c r="L126" s="29"/>
      <c r="M126" s="46">
        <f>MAPA!E57</f>
        <v>0</v>
      </c>
      <c r="N126" s="44">
        <f>MAPA!F57</f>
        <v>0</v>
      </c>
      <c r="O126" s="24"/>
      <c r="P126" s="24"/>
      <c r="Q126" s="31"/>
    </row>
    <row r="127" spans="1:17" ht="9.75" customHeight="1" thickBot="1" x14ac:dyDescent="0.25">
      <c r="A127" s="58" t="s">
        <v>137</v>
      </c>
      <c r="B127" s="59" t="s">
        <v>149</v>
      </c>
      <c r="C127" s="59"/>
      <c r="D127" s="59"/>
      <c r="E127" s="60"/>
      <c r="F127" s="29"/>
      <c r="G127" s="58" t="s">
        <v>137</v>
      </c>
      <c r="H127" s="59" t="s">
        <v>149</v>
      </c>
      <c r="I127" s="59"/>
      <c r="J127" s="59"/>
      <c r="K127" s="60"/>
      <c r="L127" s="29"/>
      <c r="M127" s="58" t="s">
        <v>137</v>
      </c>
      <c r="N127" s="59" t="s">
        <v>149</v>
      </c>
      <c r="O127" s="59"/>
      <c r="P127" s="59"/>
      <c r="Q127" s="60"/>
    </row>
    <row r="128" spans="1:17" ht="9.75" customHeight="1" x14ac:dyDescent="0.2">
      <c r="A128" s="232" t="s">
        <v>136</v>
      </c>
      <c r="B128" s="233"/>
      <c r="C128" s="228" t="str">
        <f>MAPA!A4</f>
        <v xml:space="preserve">DATA : 10/10/2019   </v>
      </c>
      <c r="D128" s="228"/>
      <c r="E128" s="39"/>
      <c r="F128" s="29"/>
      <c r="G128" s="232" t="s">
        <v>136</v>
      </c>
      <c r="H128" s="233"/>
      <c r="I128" s="228" t="str">
        <f>MAPA!A4</f>
        <v xml:space="preserve">DATA : 10/10/2019   </v>
      </c>
      <c r="J128" s="228"/>
      <c r="K128" s="39"/>
      <c r="L128" s="29"/>
      <c r="M128" s="232" t="s">
        <v>136</v>
      </c>
      <c r="N128" s="233"/>
      <c r="O128" s="228" t="str">
        <f>MAPA!A4</f>
        <v xml:space="preserve">DATA : 10/10/2019   </v>
      </c>
      <c r="P128" s="228"/>
      <c r="Q128" s="39"/>
    </row>
    <row r="129" spans="1:17" ht="9.75" customHeight="1" x14ac:dyDescent="0.2">
      <c r="A129" s="229" t="s">
        <v>150</v>
      </c>
      <c r="B129" s="230"/>
      <c r="C129" s="230"/>
      <c r="D129" s="230"/>
      <c r="E129" s="231"/>
      <c r="F129" s="29"/>
      <c r="G129" s="229" t="s">
        <v>150</v>
      </c>
      <c r="H129" s="230"/>
      <c r="I129" s="230"/>
      <c r="J129" s="230"/>
      <c r="K129" s="231"/>
      <c r="L129" s="29"/>
      <c r="M129" s="229" t="s">
        <v>150</v>
      </c>
      <c r="N129" s="230"/>
      <c r="O129" s="230"/>
      <c r="P129" s="230"/>
      <c r="Q129" s="231"/>
    </row>
    <row r="130" spans="1:17" s="34" customFormat="1" ht="9" customHeight="1" x14ac:dyDescent="0.25">
      <c r="A130" s="47" t="s">
        <v>190</v>
      </c>
      <c r="B130" s="48"/>
      <c r="C130" s="48"/>
      <c r="D130" s="48"/>
      <c r="E130" s="61" t="s">
        <v>139</v>
      </c>
      <c r="F130" s="49"/>
      <c r="G130" s="47" t="s">
        <v>190</v>
      </c>
      <c r="H130" s="48"/>
      <c r="I130" s="48"/>
      <c r="J130" s="48"/>
      <c r="K130" s="61" t="s">
        <v>139</v>
      </c>
      <c r="M130" s="47" t="s">
        <v>190</v>
      </c>
      <c r="N130" s="48"/>
      <c r="O130" s="48"/>
      <c r="P130" s="48"/>
      <c r="Q130" s="61" t="s">
        <v>139</v>
      </c>
    </row>
    <row r="131" spans="1:17" s="34" customFormat="1" ht="8.1" customHeight="1" x14ac:dyDescent="0.25">
      <c r="A131" s="50" t="s">
        <v>138</v>
      </c>
      <c r="B131" s="51"/>
      <c r="C131" s="51"/>
      <c r="D131" s="51"/>
      <c r="E131" s="52"/>
      <c r="F131" s="49"/>
      <c r="G131" s="50" t="s">
        <v>138</v>
      </c>
      <c r="H131" s="51"/>
      <c r="I131" s="51"/>
      <c r="J131" s="51"/>
      <c r="K131" s="52"/>
      <c r="M131" s="50" t="s">
        <v>138</v>
      </c>
      <c r="N131" s="51"/>
      <c r="O131" s="51"/>
      <c r="P131" s="51"/>
      <c r="Q131" s="52"/>
    </row>
    <row r="132" spans="1:17" s="24" customFormat="1" ht="9.75" customHeight="1" x14ac:dyDescent="0.2"/>
    <row r="133" spans="1:17" ht="9.75" customHeight="1" thickBot="1" x14ac:dyDescent="0.25"/>
    <row r="134" spans="1:17" ht="9.75" customHeight="1" x14ac:dyDescent="0.2">
      <c r="A134" s="53" t="s">
        <v>132</v>
      </c>
      <c r="B134" s="54" t="str">
        <f>MAPA!A58</f>
        <v>4113A</v>
      </c>
      <c r="C134" s="55"/>
      <c r="D134" s="56"/>
      <c r="E134" s="57"/>
      <c r="F134" s="29"/>
      <c r="G134" s="53" t="s">
        <v>132</v>
      </c>
      <c r="H134" s="54" t="str">
        <f>MAPA!A59</f>
        <v>4113 B</v>
      </c>
      <c r="I134" s="55"/>
      <c r="J134" s="56"/>
      <c r="K134" s="57"/>
      <c r="L134" s="29"/>
      <c r="M134" s="53" t="s">
        <v>132</v>
      </c>
      <c r="N134" s="54" t="str">
        <f>MAPA!A60</f>
        <v>4113 C</v>
      </c>
      <c r="O134" s="55"/>
      <c r="P134" s="56"/>
      <c r="Q134" s="57"/>
    </row>
    <row r="135" spans="1:17" ht="9.75" customHeight="1" x14ac:dyDescent="0.2">
      <c r="A135" s="40" t="s">
        <v>133</v>
      </c>
      <c r="B135" s="41" t="str">
        <f>MAPA!B58</f>
        <v>HENRY MICAEL DORNELES 1M</v>
      </c>
      <c r="C135" s="24"/>
      <c r="D135" s="24"/>
      <c r="E135" s="31"/>
      <c r="F135" s="29"/>
      <c r="G135" s="40" t="s">
        <v>133</v>
      </c>
      <c r="H135" s="41" t="str">
        <f>MAPA!B59</f>
        <v>MANUELA NASCIMENTO 3M</v>
      </c>
      <c r="I135" s="24"/>
      <c r="J135" s="24"/>
      <c r="K135" s="31"/>
      <c r="L135" s="29"/>
      <c r="M135" s="40" t="s">
        <v>133</v>
      </c>
      <c r="N135" s="41">
        <f>MAPA!B60</f>
        <v>0</v>
      </c>
      <c r="O135" s="24"/>
      <c r="P135" s="24"/>
      <c r="Q135" s="31"/>
    </row>
    <row r="136" spans="1:17" ht="9.75" customHeight="1" x14ac:dyDescent="0.2">
      <c r="A136" s="43">
        <f>MAPA!D58</f>
        <v>60</v>
      </c>
      <c r="B136" s="44" t="s">
        <v>134</v>
      </c>
      <c r="C136" s="45" t="s">
        <v>135</v>
      </c>
      <c r="D136" s="44" t="str">
        <f>MAPA!C58</f>
        <v>SNE</v>
      </c>
      <c r="E136" s="31" t="str">
        <f>MAPA!G58</f>
        <v>2/2H</v>
      </c>
      <c r="F136" s="29"/>
      <c r="G136" s="43">
        <f>MAPA!D59</f>
        <v>80</v>
      </c>
      <c r="H136" s="44" t="s">
        <v>134</v>
      </c>
      <c r="I136" s="45" t="s">
        <v>135</v>
      </c>
      <c r="J136" s="44" t="str">
        <f>MAPA!C59</f>
        <v>VO</v>
      </c>
      <c r="K136" s="31" t="str">
        <f>MAPA!G59</f>
        <v>3/3H</v>
      </c>
      <c r="L136" s="29"/>
      <c r="M136" s="43">
        <f>MAPA!D60</f>
        <v>0</v>
      </c>
      <c r="N136" s="44" t="s">
        <v>134</v>
      </c>
      <c r="O136" s="45" t="s">
        <v>135</v>
      </c>
      <c r="P136" s="44">
        <f>MAPA!C60</f>
        <v>0</v>
      </c>
      <c r="Q136" s="31">
        <f>MAPA!G60</f>
        <v>0</v>
      </c>
    </row>
    <row r="137" spans="1:17" ht="9.75" customHeight="1" x14ac:dyDescent="0.2">
      <c r="A137" s="46">
        <f>MAPA!E58</f>
        <v>0</v>
      </c>
      <c r="B137" s="44" t="str">
        <f>MAPA!F58</f>
        <v>FL 1º SEMESTRE (17,5%)</v>
      </c>
      <c r="C137" s="24"/>
      <c r="D137" s="24"/>
      <c r="E137" s="31"/>
      <c r="F137" s="29"/>
      <c r="G137" s="46">
        <f>MAPA!E59</f>
        <v>0</v>
      </c>
      <c r="H137" s="44" t="str">
        <f>MAPA!F59</f>
        <v>FL 1° SEMESTRE(NAN CONFOR)</v>
      </c>
      <c r="I137" s="24"/>
      <c r="J137" s="24"/>
      <c r="K137" s="31"/>
      <c r="L137" s="29"/>
      <c r="M137" s="46">
        <f>MAPA!E60</f>
        <v>0</v>
      </c>
      <c r="N137" s="44">
        <f>MAPA!F60</f>
        <v>0</v>
      </c>
      <c r="O137" s="24"/>
      <c r="P137" s="24"/>
      <c r="Q137" s="31"/>
    </row>
    <row r="138" spans="1:17" ht="9.75" customHeight="1" thickBot="1" x14ac:dyDescent="0.25">
      <c r="A138" s="58" t="s">
        <v>137</v>
      </c>
      <c r="B138" s="59" t="s">
        <v>149</v>
      </c>
      <c r="C138" s="59"/>
      <c r="D138" s="59"/>
      <c r="E138" s="60"/>
      <c r="F138" s="29"/>
      <c r="G138" s="58" t="s">
        <v>137</v>
      </c>
      <c r="H138" s="59" t="s">
        <v>149</v>
      </c>
      <c r="I138" s="59"/>
      <c r="J138" s="59"/>
      <c r="K138" s="60"/>
      <c r="L138" s="29"/>
      <c r="M138" s="58" t="s">
        <v>137</v>
      </c>
      <c r="N138" s="59" t="s">
        <v>149</v>
      </c>
      <c r="O138" s="59"/>
      <c r="P138" s="59"/>
      <c r="Q138" s="60"/>
    </row>
    <row r="139" spans="1:17" ht="9.75" customHeight="1" x14ac:dyDescent="0.2">
      <c r="A139" s="232" t="s">
        <v>136</v>
      </c>
      <c r="B139" s="233"/>
      <c r="C139" s="228" t="str">
        <f>MAPA!A4</f>
        <v xml:space="preserve">DATA : 10/10/2019   </v>
      </c>
      <c r="D139" s="228"/>
      <c r="E139" s="39"/>
      <c r="F139" s="29"/>
      <c r="G139" s="232" t="s">
        <v>136</v>
      </c>
      <c r="H139" s="233"/>
      <c r="I139" s="228" t="str">
        <f>MAPA!A4</f>
        <v xml:space="preserve">DATA : 10/10/2019   </v>
      </c>
      <c r="J139" s="228"/>
      <c r="K139" s="39"/>
      <c r="L139" s="29"/>
      <c r="M139" s="232" t="s">
        <v>136</v>
      </c>
      <c r="N139" s="233"/>
      <c r="O139" s="228" t="str">
        <f>MAPA!A4</f>
        <v xml:space="preserve">DATA : 10/10/2019   </v>
      </c>
      <c r="P139" s="228"/>
      <c r="Q139" s="39"/>
    </row>
    <row r="140" spans="1:17" ht="9.75" customHeight="1" x14ac:dyDescent="0.2">
      <c r="A140" s="229" t="s">
        <v>150</v>
      </c>
      <c r="B140" s="230"/>
      <c r="C140" s="230"/>
      <c r="D140" s="230"/>
      <c r="E140" s="231"/>
      <c r="F140" s="29"/>
      <c r="G140" s="229" t="s">
        <v>150</v>
      </c>
      <c r="H140" s="230"/>
      <c r="I140" s="230"/>
      <c r="J140" s="230"/>
      <c r="K140" s="231"/>
      <c r="L140" s="29"/>
      <c r="M140" s="229" t="s">
        <v>150</v>
      </c>
      <c r="N140" s="230"/>
      <c r="O140" s="230"/>
      <c r="P140" s="230"/>
      <c r="Q140" s="231"/>
    </row>
    <row r="141" spans="1:17" s="34" customFormat="1" ht="9" customHeight="1" x14ac:dyDescent="0.25">
      <c r="A141" s="47" t="s">
        <v>190</v>
      </c>
      <c r="B141" s="48"/>
      <c r="C141" s="48"/>
      <c r="D141" s="48"/>
      <c r="E141" s="61" t="s">
        <v>139</v>
      </c>
      <c r="F141" s="49"/>
      <c r="G141" s="47" t="s">
        <v>190</v>
      </c>
      <c r="H141" s="48"/>
      <c r="I141" s="48"/>
      <c r="J141" s="48"/>
      <c r="K141" s="61" t="s">
        <v>139</v>
      </c>
      <c r="M141" s="47" t="s">
        <v>190</v>
      </c>
      <c r="N141" s="48"/>
      <c r="O141" s="48"/>
      <c r="P141" s="48"/>
      <c r="Q141" s="61" t="s">
        <v>139</v>
      </c>
    </row>
    <row r="142" spans="1:17" s="34" customFormat="1" ht="8.1" customHeight="1" x14ac:dyDescent="0.25">
      <c r="A142" s="50" t="s">
        <v>138</v>
      </c>
      <c r="B142" s="51"/>
      <c r="C142" s="51"/>
      <c r="D142" s="51"/>
      <c r="E142" s="52"/>
      <c r="F142" s="49"/>
      <c r="G142" s="50" t="s">
        <v>138</v>
      </c>
      <c r="H142" s="51"/>
      <c r="I142" s="51"/>
      <c r="J142" s="51"/>
      <c r="K142" s="52"/>
      <c r="M142" s="50" t="s">
        <v>138</v>
      </c>
      <c r="N142" s="51"/>
      <c r="O142" s="51"/>
      <c r="P142" s="51"/>
      <c r="Q142" s="52"/>
    </row>
    <row r="143" spans="1:17" s="24" customFormat="1" ht="9.75" customHeight="1" x14ac:dyDescent="0.2"/>
    <row r="144" spans="1:17" ht="9.75" customHeight="1" thickBo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</row>
    <row r="145" spans="1:17" ht="9.75" customHeight="1" x14ac:dyDescent="0.2">
      <c r="A145" s="53" t="s">
        <v>132</v>
      </c>
      <c r="B145" s="54" t="str">
        <f>MAPA!A61</f>
        <v>4114 A</v>
      </c>
      <c r="C145" s="55"/>
      <c r="D145" s="56"/>
      <c r="E145" s="57"/>
      <c r="F145" s="29"/>
      <c r="G145" s="53" t="s">
        <v>132</v>
      </c>
      <c r="H145" s="54" t="str">
        <f>MAPA!A62</f>
        <v>4114 B</v>
      </c>
      <c r="I145" s="55"/>
      <c r="J145" s="56"/>
      <c r="K145" s="57"/>
      <c r="L145" s="29"/>
      <c r="M145" s="53" t="s">
        <v>132</v>
      </c>
      <c r="N145" s="54" t="str">
        <f>MAPA!A63</f>
        <v>4114 C</v>
      </c>
      <c r="O145" s="55"/>
      <c r="P145" s="56"/>
      <c r="Q145" s="57"/>
    </row>
    <row r="146" spans="1:17" ht="9.75" customHeight="1" x14ac:dyDescent="0.2">
      <c r="A146" s="40" t="s">
        <v>133</v>
      </c>
      <c r="B146" s="41" t="str">
        <f>MAPA!B61</f>
        <v>JOAQUIM BGS REIS, 11M</v>
      </c>
      <c r="C146" s="24"/>
      <c r="D146" s="24"/>
      <c r="E146" s="31"/>
      <c r="F146" s="29"/>
      <c r="G146" s="40" t="s">
        <v>133</v>
      </c>
      <c r="H146" s="41" t="str">
        <f>MAPA!B62</f>
        <v>VALENTIM DA SILVEIRA RODRIGUES, 1M</v>
      </c>
      <c r="I146" s="24"/>
      <c r="J146" s="24"/>
      <c r="K146" s="31"/>
      <c r="L146" s="29"/>
      <c r="M146" s="40" t="s">
        <v>133</v>
      </c>
      <c r="N146" s="41" t="str">
        <f>MAPA!B63</f>
        <v>LORRANA BEATRIZ CARDOSO, 1A</v>
      </c>
      <c r="O146" s="24"/>
      <c r="P146" s="24"/>
      <c r="Q146" s="31"/>
    </row>
    <row r="147" spans="1:17" ht="9.75" customHeight="1" x14ac:dyDescent="0.2">
      <c r="A147" s="43">
        <f>MAPA!D61</f>
        <v>240</v>
      </c>
      <c r="B147" s="44" t="s">
        <v>134</v>
      </c>
      <c r="C147" s="45" t="s">
        <v>135</v>
      </c>
      <c r="D147" s="44">
        <f>MAPA!D61</f>
        <v>240</v>
      </c>
      <c r="E147" s="31" t="str">
        <f>MAPA!G61</f>
        <v>7:30-15-21-24H</v>
      </c>
      <c r="F147" s="29"/>
      <c r="G147" s="43">
        <f>MAPA!D62</f>
        <v>120</v>
      </c>
      <c r="H147" s="44" t="s">
        <v>134</v>
      </c>
      <c r="I147" s="45" t="s">
        <v>135</v>
      </c>
      <c r="J147" s="44" t="str">
        <f>MAPA!C62</f>
        <v>VO</v>
      </c>
      <c r="K147" s="31" t="str">
        <f>MAPA!G62</f>
        <v>3/3H</v>
      </c>
      <c r="L147" s="29"/>
      <c r="M147" s="43">
        <f>MAPA!D63</f>
        <v>240</v>
      </c>
      <c r="N147" s="44" t="s">
        <v>134</v>
      </c>
      <c r="O147" s="45" t="s">
        <v>135</v>
      </c>
      <c r="P147" s="44" t="str">
        <f>MAPA!C63</f>
        <v>VO</v>
      </c>
      <c r="Q147" s="31" t="str">
        <f>MAPA!G63</f>
        <v>7:30-15-21-24H</v>
      </c>
    </row>
    <row r="148" spans="1:17" ht="9.75" customHeight="1" x14ac:dyDescent="0.2">
      <c r="A148" s="46">
        <f>MAPA!E61</f>
        <v>0</v>
      </c>
      <c r="B148" s="44" t="str">
        <f>MAPA!F61</f>
        <v>FL 2º SEMESTRE</v>
      </c>
      <c r="C148" s="24"/>
      <c r="D148" s="24"/>
      <c r="E148" s="31"/>
      <c r="F148" s="29"/>
      <c r="G148" s="46">
        <f>MAPA!E62</f>
        <v>0</v>
      </c>
      <c r="H148" s="44" t="str">
        <f>MAPA!F62</f>
        <v>FL 1º SEMESTRE</v>
      </c>
      <c r="I148" s="24"/>
      <c r="J148" s="24"/>
      <c r="K148" s="31"/>
      <c r="L148" s="29"/>
      <c r="M148" s="46">
        <f>MAPA!E63</f>
        <v>0</v>
      </c>
      <c r="N148" s="44" t="str">
        <f>MAPA!F62</f>
        <v>FL 1º SEMESTRE</v>
      </c>
      <c r="O148" s="24"/>
      <c r="P148" s="24"/>
      <c r="Q148" s="31"/>
    </row>
    <row r="149" spans="1:17" ht="9.75" customHeight="1" thickBot="1" x14ac:dyDescent="0.25">
      <c r="A149" s="58" t="s">
        <v>137</v>
      </c>
      <c r="B149" s="59" t="s">
        <v>149</v>
      </c>
      <c r="C149" s="59"/>
      <c r="D149" s="59"/>
      <c r="E149" s="60"/>
      <c r="F149" s="29"/>
      <c r="G149" s="58" t="s">
        <v>137</v>
      </c>
      <c r="H149" s="59" t="s">
        <v>149</v>
      </c>
      <c r="I149" s="59"/>
      <c r="J149" s="59"/>
      <c r="K149" s="60"/>
      <c r="L149" s="29"/>
      <c r="M149" s="58" t="s">
        <v>137</v>
      </c>
      <c r="N149" s="59" t="s">
        <v>149</v>
      </c>
      <c r="O149" s="59"/>
      <c r="P149" s="59"/>
      <c r="Q149" s="60"/>
    </row>
    <row r="150" spans="1:17" ht="9.75" customHeight="1" x14ac:dyDescent="0.2">
      <c r="A150" s="232" t="s">
        <v>136</v>
      </c>
      <c r="B150" s="233"/>
      <c r="C150" s="228" t="str">
        <f>MAPA!A4</f>
        <v xml:space="preserve">DATA : 10/10/2019   </v>
      </c>
      <c r="D150" s="228"/>
      <c r="E150" s="39"/>
      <c r="F150" s="29"/>
      <c r="G150" s="232" t="s">
        <v>136</v>
      </c>
      <c r="H150" s="233"/>
      <c r="I150" s="228" t="str">
        <f>MAPA!A4</f>
        <v xml:space="preserve">DATA : 10/10/2019   </v>
      </c>
      <c r="J150" s="228"/>
      <c r="K150" s="39"/>
      <c r="L150" s="29"/>
      <c r="M150" s="232" t="s">
        <v>136</v>
      </c>
      <c r="N150" s="233"/>
      <c r="O150" s="228" t="str">
        <f>MAPA!A4</f>
        <v xml:space="preserve">DATA : 10/10/2019   </v>
      </c>
      <c r="P150" s="228"/>
      <c r="Q150" s="39"/>
    </row>
    <row r="151" spans="1:17" ht="9.75" customHeight="1" x14ac:dyDescent="0.2">
      <c r="A151" s="229" t="s">
        <v>150</v>
      </c>
      <c r="B151" s="230"/>
      <c r="C151" s="230"/>
      <c r="D151" s="230"/>
      <c r="E151" s="231"/>
      <c r="F151" s="29"/>
      <c r="G151" s="229" t="s">
        <v>150</v>
      </c>
      <c r="H151" s="230"/>
      <c r="I151" s="230"/>
      <c r="J151" s="230"/>
      <c r="K151" s="231"/>
      <c r="L151" s="29"/>
      <c r="M151" s="229" t="s">
        <v>150</v>
      </c>
      <c r="N151" s="230"/>
      <c r="O151" s="230"/>
      <c r="P151" s="230"/>
      <c r="Q151" s="231"/>
    </row>
    <row r="152" spans="1:17" s="34" customFormat="1" ht="9" customHeight="1" x14ac:dyDescent="0.25">
      <c r="A152" s="47" t="s">
        <v>190</v>
      </c>
      <c r="B152" s="48"/>
      <c r="C152" s="48"/>
      <c r="D152" s="48"/>
      <c r="E152" s="61" t="s">
        <v>139</v>
      </c>
      <c r="F152" s="49"/>
      <c r="G152" s="47" t="s">
        <v>190</v>
      </c>
      <c r="H152" s="48"/>
      <c r="I152" s="48"/>
      <c r="J152" s="48"/>
      <c r="K152" s="61" t="s">
        <v>139</v>
      </c>
      <c r="M152" s="47" t="s">
        <v>190</v>
      </c>
      <c r="N152" s="48"/>
      <c r="O152" s="48"/>
      <c r="P152" s="48"/>
      <c r="Q152" s="61" t="s">
        <v>139</v>
      </c>
    </row>
    <row r="153" spans="1:17" s="34" customFormat="1" ht="8.1" customHeight="1" x14ac:dyDescent="0.25">
      <c r="A153" s="50" t="s">
        <v>138</v>
      </c>
      <c r="B153" s="51"/>
      <c r="C153" s="51"/>
      <c r="D153" s="51"/>
      <c r="E153" s="52"/>
      <c r="F153" s="49"/>
      <c r="G153" s="50" t="s">
        <v>138</v>
      </c>
      <c r="H153" s="51"/>
      <c r="I153" s="51"/>
      <c r="J153" s="51"/>
      <c r="K153" s="52"/>
      <c r="M153" s="50" t="s">
        <v>138</v>
      </c>
      <c r="N153" s="51"/>
      <c r="O153" s="51"/>
      <c r="P153" s="51"/>
      <c r="Q153" s="52"/>
    </row>
    <row r="154" spans="1:17" s="24" customFormat="1" ht="9.75" customHeight="1" x14ac:dyDescent="0.2"/>
  </sheetData>
  <sheetProtection password="8FAA" sheet="1" objects="1" scenarios="1"/>
  <mergeCells count="134">
    <mergeCell ref="Q15:Q16"/>
    <mergeCell ref="E70:E71"/>
    <mergeCell ref="A151:E151"/>
    <mergeCell ref="G151:K151"/>
    <mergeCell ref="M151:Q151"/>
    <mergeCell ref="M1:Q1"/>
    <mergeCell ref="A140:E140"/>
    <mergeCell ref="G140:K140"/>
    <mergeCell ref="M140:Q140"/>
    <mergeCell ref="A150:B150"/>
    <mergeCell ref="C150:D150"/>
    <mergeCell ref="G150:H150"/>
    <mergeCell ref="I150:J150"/>
    <mergeCell ref="M150:N150"/>
    <mergeCell ref="O150:P150"/>
    <mergeCell ref="A129:E129"/>
    <mergeCell ref="G129:K129"/>
    <mergeCell ref="M129:Q129"/>
    <mergeCell ref="A139:B139"/>
    <mergeCell ref="C139:D139"/>
    <mergeCell ref="G139:H139"/>
    <mergeCell ref="I139:J139"/>
    <mergeCell ref="M139:N139"/>
    <mergeCell ref="O139:P139"/>
    <mergeCell ref="A118:E118"/>
    <mergeCell ref="G118:K118"/>
    <mergeCell ref="M118:Q118"/>
    <mergeCell ref="A128:B128"/>
    <mergeCell ref="C128:D128"/>
    <mergeCell ref="G128:H128"/>
    <mergeCell ref="I128:J128"/>
    <mergeCell ref="M128:N128"/>
    <mergeCell ref="O128:P128"/>
    <mergeCell ref="M107:Q107"/>
    <mergeCell ref="A117:B117"/>
    <mergeCell ref="C117:D117"/>
    <mergeCell ref="G117:H117"/>
    <mergeCell ref="I117:J117"/>
    <mergeCell ref="M117:N117"/>
    <mergeCell ref="O117:P117"/>
    <mergeCell ref="A107:E107"/>
    <mergeCell ref="G107:K107"/>
    <mergeCell ref="M85:Q85"/>
    <mergeCell ref="M95:N95"/>
    <mergeCell ref="O95:P95"/>
    <mergeCell ref="M96:Q96"/>
    <mergeCell ref="M106:N106"/>
    <mergeCell ref="O106:P106"/>
    <mergeCell ref="M63:Q63"/>
    <mergeCell ref="M73:N73"/>
    <mergeCell ref="O73:P73"/>
    <mergeCell ref="M74:Q74"/>
    <mergeCell ref="M84:N84"/>
    <mergeCell ref="O84:P84"/>
    <mergeCell ref="O51:P51"/>
    <mergeCell ref="M52:Q52"/>
    <mergeCell ref="M62:N62"/>
    <mergeCell ref="O62:P62"/>
    <mergeCell ref="M19:Q19"/>
    <mergeCell ref="M29:N29"/>
    <mergeCell ref="O29:P29"/>
    <mergeCell ref="M30:Q30"/>
    <mergeCell ref="M40:N40"/>
    <mergeCell ref="O40:P40"/>
    <mergeCell ref="O7:P7"/>
    <mergeCell ref="M8:Q8"/>
    <mergeCell ref="M18:N18"/>
    <mergeCell ref="O18:P18"/>
    <mergeCell ref="A106:B106"/>
    <mergeCell ref="C106:D106"/>
    <mergeCell ref="G106:H106"/>
    <mergeCell ref="I106:J106"/>
    <mergeCell ref="A95:B95"/>
    <mergeCell ref="C95:D95"/>
    <mergeCell ref="G95:H95"/>
    <mergeCell ref="I95:J95"/>
    <mergeCell ref="A96:E96"/>
    <mergeCell ref="G96:K96"/>
    <mergeCell ref="A84:B84"/>
    <mergeCell ref="C84:D84"/>
    <mergeCell ref="G84:H84"/>
    <mergeCell ref="I84:J84"/>
    <mergeCell ref="A85:E85"/>
    <mergeCell ref="G85:K85"/>
    <mergeCell ref="A73:B73"/>
    <mergeCell ref="C73:D73"/>
    <mergeCell ref="G73:H73"/>
    <mergeCell ref="M41:Q41"/>
    <mergeCell ref="A74:E74"/>
    <mergeCell ref="G74:K74"/>
    <mergeCell ref="A62:B62"/>
    <mergeCell ref="C62:D62"/>
    <mergeCell ref="G62:H62"/>
    <mergeCell ref="I62:J62"/>
    <mergeCell ref="A63:E63"/>
    <mergeCell ref="G63:K63"/>
    <mergeCell ref="M7:N7"/>
    <mergeCell ref="M51:N51"/>
    <mergeCell ref="A52:E52"/>
    <mergeCell ref="G52:K52"/>
    <mergeCell ref="A40:B40"/>
    <mergeCell ref="C40:D40"/>
    <mergeCell ref="G40:H40"/>
    <mergeCell ref="I40:J40"/>
    <mergeCell ref="A41:E41"/>
    <mergeCell ref="G41:K41"/>
    <mergeCell ref="I73:J73"/>
    <mergeCell ref="A30:E30"/>
    <mergeCell ref="G30:K30"/>
    <mergeCell ref="A18:B18"/>
    <mergeCell ref="C18:D18"/>
    <mergeCell ref="G18:H18"/>
    <mergeCell ref="I18:J18"/>
    <mergeCell ref="A19:E19"/>
    <mergeCell ref="G19:K19"/>
    <mergeCell ref="A51:B51"/>
    <mergeCell ref="C51:D51"/>
    <mergeCell ref="G51:H51"/>
    <mergeCell ref="I51:J51"/>
    <mergeCell ref="A1:K1"/>
    <mergeCell ref="A7:B7"/>
    <mergeCell ref="C7:D7"/>
    <mergeCell ref="G7:H7"/>
    <mergeCell ref="I7:J7"/>
    <mergeCell ref="A8:E8"/>
    <mergeCell ref="G8:K8"/>
    <mergeCell ref="A29:B29"/>
    <mergeCell ref="C29:D29"/>
    <mergeCell ref="G29:H29"/>
    <mergeCell ref="I29:J29"/>
    <mergeCell ref="E4:E5"/>
    <mergeCell ref="K4:K5"/>
    <mergeCell ref="E15:E16"/>
    <mergeCell ref="K15:K16"/>
  </mergeCells>
  <pageMargins left="0.25" right="0.25" top="0.75" bottom="0.75" header="0.3" footer="0.3"/>
  <pageSetup paperSize="9" orientation="portrait" r:id="rId1"/>
  <rowBreaks count="1" manualBreakCount="1">
    <brk id="7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9"/>
  <sheetViews>
    <sheetView tabSelected="1" zoomScaleNormal="100" workbookViewId="0">
      <selection activeCell="N165" sqref="N165"/>
    </sheetView>
  </sheetViews>
  <sheetFormatPr defaultRowHeight="9.75" customHeight="1" x14ac:dyDescent="0.2"/>
  <cols>
    <col min="1" max="2" width="9.140625" style="29"/>
    <col min="3" max="3" width="6.7109375" style="29" customWidth="1"/>
    <col min="4" max="4" width="6.42578125" style="29" customWidth="1"/>
    <col min="5" max="5" width="13.7109375" style="29" customWidth="1"/>
    <col min="6" max="6" width="2.28515625" style="29" customWidth="1"/>
    <col min="7" max="8" width="9.140625" style="29"/>
    <col min="9" max="9" width="6.7109375" style="29" customWidth="1"/>
    <col min="10" max="10" width="9.140625" style="29"/>
    <col min="11" max="11" width="13.7109375" style="29" customWidth="1"/>
    <col min="12" max="16384" width="9.140625" style="29"/>
  </cols>
  <sheetData>
    <row r="1" spans="1:11" ht="9.75" customHeight="1" thickBot="1" x14ac:dyDescent="0.25">
      <c r="A1" s="241" t="s">
        <v>144</v>
      </c>
      <c r="B1" s="242"/>
      <c r="C1" s="242"/>
      <c r="D1" s="242"/>
      <c r="E1" s="242"/>
      <c r="F1" s="242"/>
      <c r="G1" s="242"/>
      <c r="H1" s="242"/>
      <c r="I1" s="242"/>
      <c r="J1" s="242"/>
      <c r="K1" s="243"/>
    </row>
    <row r="2" spans="1:11" ht="9.75" customHeight="1" x14ac:dyDescent="0.2">
      <c r="A2" s="40" t="s">
        <v>132</v>
      </c>
      <c r="B2" s="41">
        <f>MAPA!A68</f>
        <v>4201</v>
      </c>
      <c r="C2" s="24"/>
      <c r="D2" s="42"/>
      <c r="E2" s="31"/>
      <c r="G2" s="40" t="s">
        <v>132</v>
      </c>
      <c r="H2" s="41">
        <f>MAPA!A69</f>
        <v>4202</v>
      </c>
      <c r="I2" s="24"/>
      <c r="J2" s="42"/>
      <c r="K2" s="31"/>
    </row>
    <row r="3" spans="1:11" ht="9.75" customHeight="1" x14ac:dyDescent="0.2">
      <c r="A3" s="40" t="s">
        <v>133</v>
      </c>
      <c r="B3" s="41" t="str">
        <f>MAPA!B68</f>
        <v>RN DE MAIRA ALEXANDRA (Augusto)</v>
      </c>
      <c r="C3" s="24"/>
      <c r="D3" s="24"/>
      <c r="E3" s="31"/>
      <c r="G3" s="40" t="s">
        <v>133</v>
      </c>
      <c r="H3" s="41">
        <f>MAPA!B69</f>
        <v>0</v>
      </c>
      <c r="I3" s="24"/>
      <c r="J3" s="24"/>
      <c r="K3" s="31"/>
    </row>
    <row r="4" spans="1:11" ht="9.75" customHeight="1" x14ac:dyDescent="0.2">
      <c r="A4" s="43">
        <f>MAPA!D68</f>
        <v>40</v>
      </c>
      <c r="B4" s="44" t="s">
        <v>134</v>
      </c>
      <c r="C4" s="45" t="s">
        <v>135</v>
      </c>
      <c r="D4" s="44" t="str">
        <f>MAPA!C68</f>
        <v>SOG</v>
      </c>
      <c r="E4" s="31">
        <f>MAPA!G69</f>
        <v>0</v>
      </c>
      <c r="G4" s="43">
        <f>MAPA!D69</f>
        <v>0</v>
      </c>
      <c r="H4" s="44" t="s">
        <v>134</v>
      </c>
      <c r="I4" s="45" t="s">
        <v>135</v>
      </c>
      <c r="J4" s="44">
        <f>MAPA!C69</f>
        <v>0</v>
      </c>
      <c r="K4" s="31" t="e">
        <f>MAPA!#REF!</f>
        <v>#REF!</v>
      </c>
    </row>
    <row r="5" spans="1:11" ht="9.75" customHeight="1" x14ac:dyDescent="0.2">
      <c r="A5" s="46" t="str">
        <f>MAPA!E68</f>
        <v>LM</v>
      </c>
      <c r="B5" s="44" t="str">
        <f>MAPA!F68</f>
        <v>FL TRANSIÇÃO</v>
      </c>
      <c r="C5" s="24"/>
      <c r="D5" s="24"/>
      <c r="E5" s="31"/>
      <c r="G5" s="46">
        <f>MAPA!E69</f>
        <v>0</v>
      </c>
      <c r="H5" s="44">
        <f>MAPA!F69</f>
        <v>0</v>
      </c>
      <c r="I5" s="24"/>
      <c r="J5" s="24"/>
      <c r="K5" s="31"/>
    </row>
    <row r="6" spans="1:11" ht="9.75" customHeight="1" thickBot="1" x14ac:dyDescent="0.25">
      <c r="A6" s="58" t="s">
        <v>137</v>
      </c>
      <c r="B6" s="59" t="s">
        <v>149</v>
      </c>
      <c r="C6" s="59"/>
      <c r="D6" s="59"/>
      <c r="E6" s="60"/>
      <c r="G6" s="58" t="s">
        <v>137</v>
      </c>
      <c r="H6" s="59" t="s">
        <v>149</v>
      </c>
      <c r="I6" s="59"/>
      <c r="J6" s="59"/>
      <c r="K6" s="60"/>
    </row>
    <row r="7" spans="1:11" ht="9.75" customHeight="1" x14ac:dyDescent="0.2">
      <c r="A7" s="232" t="s">
        <v>136</v>
      </c>
      <c r="B7" s="233"/>
      <c r="C7" s="228" t="str">
        <f>MAPA!A4</f>
        <v xml:space="preserve">DATA : 10/10/2019   </v>
      </c>
      <c r="D7" s="228"/>
      <c r="E7" s="39"/>
      <c r="G7" s="232" t="s">
        <v>136</v>
      </c>
      <c r="H7" s="233"/>
      <c r="I7" s="228" t="str">
        <f>MAPA!A4</f>
        <v xml:space="preserve">DATA : 10/10/2019   </v>
      </c>
      <c r="J7" s="228"/>
      <c r="K7" s="39"/>
    </row>
    <row r="8" spans="1:11" ht="9.75" customHeight="1" x14ac:dyDescent="0.2">
      <c r="A8" s="229" t="s">
        <v>150</v>
      </c>
      <c r="B8" s="230"/>
      <c r="C8" s="230"/>
      <c r="D8" s="230"/>
      <c r="E8" s="231"/>
      <c r="G8" s="229" t="s">
        <v>150</v>
      </c>
      <c r="H8" s="230"/>
      <c r="I8" s="230"/>
      <c r="J8" s="230"/>
      <c r="K8" s="231"/>
    </row>
    <row r="9" spans="1:11" s="34" customFormat="1" ht="9" customHeight="1" x14ac:dyDescent="0.25">
      <c r="A9" s="47" t="s">
        <v>191</v>
      </c>
      <c r="B9" s="48"/>
      <c r="C9" s="48"/>
      <c r="D9" s="48"/>
      <c r="E9" s="61" t="s">
        <v>139</v>
      </c>
      <c r="F9" s="49"/>
      <c r="G9" s="47" t="s">
        <v>191</v>
      </c>
      <c r="H9" s="48"/>
      <c r="I9" s="48"/>
      <c r="J9" s="48"/>
      <c r="K9" s="61" t="s">
        <v>139</v>
      </c>
    </row>
    <row r="10" spans="1:11" s="34" customFormat="1" ht="8.1" customHeight="1" x14ac:dyDescent="0.25">
      <c r="A10" s="50" t="s">
        <v>138</v>
      </c>
      <c r="B10" s="51"/>
      <c r="C10" s="51"/>
      <c r="D10" s="51"/>
      <c r="E10" s="52"/>
      <c r="F10" s="49"/>
      <c r="G10" s="50" t="s">
        <v>138</v>
      </c>
      <c r="H10" s="51"/>
      <c r="I10" s="51"/>
      <c r="J10" s="51"/>
      <c r="K10" s="52"/>
    </row>
    <row r="11" spans="1:11" s="24" customFormat="1" ht="9.75" customHeight="1" x14ac:dyDescent="0.2"/>
    <row r="12" spans="1:11" ht="9.75" customHeight="1" thickBot="1" x14ac:dyDescent="0.25">
      <c r="A12" s="24"/>
      <c r="B12" s="24"/>
      <c r="C12" s="24"/>
      <c r="D12" s="24"/>
      <c r="E12" s="24"/>
      <c r="G12" s="24"/>
      <c r="H12" s="24"/>
      <c r="I12" s="24"/>
      <c r="J12" s="24"/>
      <c r="K12" s="24"/>
    </row>
    <row r="13" spans="1:11" ht="9.75" customHeight="1" x14ac:dyDescent="0.2">
      <c r="A13" s="53" t="s">
        <v>132</v>
      </c>
      <c r="B13" s="54">
        <f>MAPA!A70</f>
        <v>4203</v>
      </c>
      <c r="C13" s="55"/>
      <c r="D13" s="56"/>
      <c r="E13" s="57"/>
      <c r="G13" s="53" t="s">
        <v>132</v>
      </c>
      <c r="H13" s="54">
        <f>MAPA!A71</f>
        <v>4204</v>
      </c>
      <c r="I13" s="55"/>
      <c r="J13" s="56"/>
      <c r="K13" s="57"/>
    </row>
    <row r="14" spans="1:11" ht="9.75" customHeight="1" x14ac:dyDescent="0.2">
      <c r="A14" s="40" t="s">
        <v>133</v>
      </c>
      <c r="B14" s="41" t="str">
        <f>MAPA!B70</f>
        <v>RN DE ANA CLAUDIA VARGAS (Manuela)</v>
      </c>
      <c r="C14" s="24"/>
      <c r="D14" s="24"/>
      <c r="E14" s="31"/>
      <c r="G14" s="40" t="s">
        <v>133</v>
      </c>
      <c r="H14" s="41" t="str">
        <f>MAPA!B71</f>
        <v>RN DE TAINARA DE CARVALHO BOTELHO (Jhon Peter)</v>
      </c>
      <c r="I14" s="24"/>
      <c r="J14" s="24"/>
      <c r="K14" s="31"/>
    </row>
    <row r="15" spans="1:11" ht="9.75" customHeight="1" x14ac:dyDescent="0.2">
      <c r="A15" s="43">
        <f>MAPA!D70</f>
        <v>32</v>
      </c>
      <c r="B15" s="44" t="s">
        <v>134</v>
      </c>
      <c r="C15" s="45" t="s">
        <v>135</v>
      </c>
      <c r="D15" s="44" t="str">
        <f>MAPA!C70</f>
        <v>SOG</v>
      </c>
      <c r="E15" s="31" t="str">
        <f>MAPA!G70</f>
        <v>3/3H</v>
      </c>
      <c r="G15" s="43">
        <f>MAPA!D71</f>
        <v>25</v>
      </c>
      <c r="H15" s="44" t="s">
        <v>134</v>
      </c>
      <c r="I15" s="45" t="s">
        <v>135</v>
      </c>
      <c r="J15" s="44" t="str">
        <f>MAPA!C71</f>
        <v>SNG</v>
      </c>
      <c r="K15" s="31" t="str">
        <f>MAPA!G71</f>
        <v>3/3H</v>
      </c>
    </row>
    <row r="16" spans="1:11" ht="9.75" customHeight="1" x14ac:dyDescent="0.2">
      <c r="A16" s="46" t="str">
        <f>MAPA!E70</f>
        <v>LM + FM</v>
      </c>
      <c r="B16" s="44" t="str">
        <f>MAPA!F70</f>
        <v>FL PREMATURO</v>
      </c>
      <c r="C16" s="24"/>
      <c r="D16" s="24"/>
      <c r="E16" s="31"/>
      <c r="G16" s="46" t="str">
        <f>MAPA!E71</f>
        <v>LM</v>
      </c>
      <c r="H16" s="44" t="str">
        <f>MAPA!F71</f>
        <v>FL PREMATURO</v>
      </c>
      <c r="I16" s="24"/>
      <c r="J16" s="24"/>
      <c r="K16" s="31"/>
    </row>
    <row r="17" spans="1:11" ht="9.75" customHeight="1" thickBot="1" x14ac:dyDescent="0.25">
      <c r="A17" s="58" t="s">
        <v>137</v>
      </c>
      <c r="B17" s="59" t="s">
        <v>149</v>
      </c>
      <c r="C17" s="59"/>
      <c r="D17" s="59"/>
      <c r="E17" s="60"/>
      <c r="G17" s="58" t="s">
        <v>137</v>
      </c>
      <c r="H17" s="59" t="s">
        <v>149</v>
      </c>
      <c r="I17" s="59"/>
      <c r="J17" s="59"/>
      <c r="K17" s="60"/>
    </row>
    <row r="18" spans="1:11" ht="9.75" customHeight="1" x14ac:dyDescent="0.2">
      <c r="A18" s="232" t="s">
        <v>136</v>
      </c>
      <c r="B18" s="233"/>
      <c r="C18" s="228" t="str">
        <f>MAPA!A4</f>
        <v xml:space="preserve">DATA : 10/10/2019   </v>
      </c>
      <c r="D18" s="228"/>
      <c r="E18" s="39"/>
      <c r="G18" s="232" t="s">
        <v>136</v>
      </c>
      <c r="H18" s="233"/>
      <c r="I18" s="228" t="str">
        <f>MAPA!A4</f>
        <v xml:space="preserve">DATA : 10/10/2019   </v>
      </c>
      <c r="J18" s="228"/>
      <c r="K18" s="39"/>
    </row>
    <row r="19" spans="1:11" ht="9.75" customHeight="1" x14ac:dyDescent="0.2">
      <c r="A19" s="229" t="s">
        <v>150</v>
      </c>
      <c r="B19" s="230"/>
      <c r="C19" s="230"/>
      <c r="D19" s="230"/>
      <c r="E19" s="231"/>
      <c r="G19" s="229" t="s">
        <v>150</v>
      </c>
      <c r="H19" s="230"/>
      <c r="I19" s="230"/>
      <c r="J19" s="230"/>
      <c r="K19" s="231"/>
    </row>
    <row r="20" spans="1:11" s="34" customFormat="1" ht="9" customHeight="1" x14ac:dyDescent="0.25">
      <c r="A20" s="47" t="s">
        <v>191</v>
      </c>
      <c r="B20" s="48"/>
      <c r="C20" s="48"/>
      <c r="D20" s="48"/>
      <c r="E20" s="61" t="s">
        <v>139</v>
      </c>
      <c r="F20" s="49"/>
      <c r="G20" s="47" t="s">
        <v>191</v>
      </c>
      <c r="H20" s="48"/>
      <c r="I20" s="48"/>
      <c r="J20" s="48"/>
      <c r="K20" s="61" t="s">
        <v>139</v>
      </c>
    </row>
    <row r="21" spans="1:11" s="34" customFormat="1" ht="8.1" customHeight="1" x14ac:dyDescent="0.25">
      <c r="A21" s="50" t="s">
        <v>138</v>
      </c>
      <c r="B21" s="51"/>
      <c r="C21" s="51"/>
      <c r="D21" s="51"/>
      <c r="E21" s="52"/>
      <c r="F21" s="49"/>
      <c r="G21" s="50" t="s">
        <v>138</v>
      </c>
      <c r="H21" s="51"/>
      <c r="I21" s="51"/>
      <c r="J21" s="51"/>
      <c r="K21" s="52"/>
    </row>
    <row r="22" spans="1:11" s="24" customFormat="1" ht="9.75" customHeight="1" x14ac:dyDescent="0.2"/>
    <row r="23" spans="1:11" ht="9.75" customHeight="1" thickBot="1" x14ac:dyDescent="0.25">
      <c r="A23" s="24"/>
      <c r="B23" s="24"/>
      <c r="C23" s="24"/>
      <c r="D23" s="24"/>
      <c r="E23" s="24"/>
      <c r="G23" s="24"/>
      <c r="H23" s="24"/>
      <c r="I23" s="24"/>
      <c r="J23" s="24"/>
      <c r="K23" s="24"/>
    </row>
    <row r="24" spans="1:11" ht="9.75" customHeight="1" x14ac:dyDescent="0.2">
      <c r="A24" s="53" t="s">
        <v>132</v>
      </c>
      <c r="B24" s="54">
        <f>MAPA!A72</f>
        <v>4205</v>
      </c>
      <c r="C24" s="55"/>
      <c r="D24" s="56"/>
      <c r="E24" s="57"/>
      <c r="G24" s="53" t="s">
        <v>132</v>
      </c>
      <c r="H24" s="54">
        <f>MAPA!A73</f>
        <v>4206</v>
      </c>
      <c r="I24" s="55"/>
      <c r="J24" s="56"/>
      <c r="K24" s="57"/>
    </row>
    <row r="25" spans="1:11" ht="9.75" customHeight="1" x14ac:dyDescent="0.2">
      <c r="A25" s="40" t="s">
        <v>133</v>
      </c>
      <c r="B25" s="41" t="str">
        <f>MAPA!B72</f>
        <v>RN ELISSANGELA MENDES</v>
      </c>
      <c r="C25" s="24"/>
      <c r="D25" s="24"/>
      <c r="E25" s="31"/>
      <c r="G25" s="40" t="s">
        <v>133</v>
      </c>
      <c r="H25" s="41" t="str">
        <f>MAPA!B73</f>
        <v>RN DE JENIFER VITÓRIA (Oliver)</v>
      </c>
      <c r="I25" s="24"/>
      <c r="J25" s="24"/>
      <c r="K25" s="31"/>
    </row>
    <row r="26" spans="1:11" ht="9.75" customHeight="1" x14ac:dyDescent="0.2">
      <c r="A26" s="43">
        <f>MAPA!D72</f>
        <v>31</v>
      </c>
      <c r="B26" s="44" t="s">
        <v>134</v>
      </c>
      <c r="C26" s="45" t="s">
        <v>135</v>
      </c>
      <c r="D26" s="44" t="str">
        <f>MAPA!C72</f>
        <v>VO</v>
      </c>
      <c r="E26" s="31" t="str">
        <f>MAPA!G72</f>
        <v>3/3H</v>
      </c>
      <c r="G26" s="43">
        <f>MAPA!D73</f>
        <v>16</v>
      </c>
      <c r="H26" s="44" t="s">
        <v>134</v>
      </c>
      <c r="I26" s="45" t="s">
        <v>135</v>
      </c>
      <c r="J26" s="44" t="str">
        <f>MAPA!C73</f>
        <v>SOG</v>
      </c>
      <c r="K26" s="31" t="str">
        <f>MAPA!G73</f>
        <v>3/3H</v>
      </c>
    </row>
    <row r="27" spans="1:11" ht="9.75" customHeight="1" x14ac:dyDescent="0.2">
      <c r="A27" s="46" t="str">
        <f>MAPA!E72</f>
        <v>LM</v>
      </c>
      <c r="B27" s="44" t="str">
        <f>MAPA!F72</f>
        <v>FL 1º SEMESTRE</v>
      </c>
      <c r="C27" s="24"/>
      <c r="D27" s="24"/>
      <c r="E27" s="31"/>
      <c r="G27" s="46" t="e">
        <f>MAPA!#REF!</f>
        <v>#REF!</v>
      </c>
      <c r="H27" s="44" t="str">
        <f>MAPA!E73</f>
        <v>LM</v>
      </c>
      <c r="I27" s="24"/>
      <c r="J27" s="24"/>
      <c r="K27" s="31"/>
    </row>
    <row r="28" spans="1:11" ht="9.75" customHeight="1" thickBot="1" x14ac:dyDescent="0.25">
      <c r="A28" s="58" t="s">
        <v>137</v>
      </c>
      <c r="B28" s="59" t="s">
        <v>149</v>
      </c>
      <c r="C28" s="59"/>
      <c r="D28" s="59"/>
      <c r="E28" s="60"/>
      <c r="G28" s="58" t="s">
        <v>137</v>
      </c>
      <c r="H28" s="59" t="s">
        <v>149</v>
      </c>
      <c r="I28" s="59"/>
      <c r="J28" s="59"/>
      <c r="K28" s="60"/>
    </row>
    <row r="29" spans="1:11" ht="9.75" customHeight="1" x14ac:dyDescent="0.2">
      <c r="A29" s="232" t="s">
        <v>136</v>
      </c>
      <c r="B29" s="233"/>
      <c r="C29" s="228" t="str">
        <f>MAPA!A4</f>
        <v xml:space="preserve">DATA : 10/10/2019   </v>
      </c>
      <c r="D29" s="228"/>
      <c r="E29" s="39"/>
      <c r="G29" s="232" t="s">
        <v>136</v>
      </c>
      <c r="H29" s="233"/>
      <c r="I29" s="228" t="str">
        <f>MAPA!A4</f>
        <v xml:space="preserve">DATA : 10/10/2019   </v>
      </c>
      <c r="J29" s="228"/>
      <c r="K29" s="39"/>
    </row>
    <row r="30" spans="1:11" ht="9.75" customHeight="1" x14ac:dyDescent="0.2">
      <c r="A30" s="229" t="s">
        <v>150</v>
      </c>
      <c r="B30" s="230"/>
      <c r="C30" s="230"/>
      <c r="D30" s="230"/>
      <c r="E30" s="231"/>
      <c r="G30" s="229" t="s">
        <v>150</v>
      </c>
      <c r="H30" s="230"/>
      <c r="I30" s="230"/>
      <c r="J30" s="230"/>
      <c r="K30" s="231"/>
    </row>
    <row r="31" spans="1:11" s="34" customFormat="1" ht="9" customHeight="1" x14ac:dyDescent="0.25">
      <c r="A31" s="47" t="s">
        <v>191</v>
      </c>
      <c r="B31" s="48"/>
      <c r="C31" s="48"/>
      <c r="D31" s="48"/>
      <c r="E31" s="61" t="s">
        <v>139</v>
      </c>
      <c r="F31" s="49"/>
      <c r="G31" s="47" t="s">
        <v>191</v>
      </c>
      <c r="H31" s="48"/>
      <c r="I31" s="48"/>
      <c r="J31" s="48"/>
      <c r="K31" s="61" t="s">
        <v>139</v>
      </c>
    </row>
    <row r="32" spans="1:11" s="34" customFormat="1" ht="8.1" customHeight="1" x14ac:dyDescent="0.25">
      <c r="A32" s="50" t="s">
        <v>138</v>
      </c>
      <c r="B32" s="51"/>
      <c r="C32" s="51"/>
      <c r="D32" s="51"/>
      <c r="E32" s="52"/>
      <c r="F32" s="49"/>
      <c r="G32" s="50" t="s">
        <v>138</v>
      </c>
      <c r="H32" s="51"/>
      <c r="I32" s="51"/>
      <c r="J32" s="51"/>
      <c r="K32" s="52"/>
    </row>
    <row r="33" spans="1:11" s="24" customFormat="1" ht="9.75" customHeight="1" x14ac:dyDescent="0.2"/>
    <row r="34" spans="1:11" ht="9.75" customHeight="1" thickBot="1" x14ac:dyDescent="0.25">
      <c r="A34" s="24"/>
      <c r="B34" s="24"/>
      <c r="C34" s="24"/>
      <c r="D34" s="24"/>
      <c r="E34" s="24"/>
      <c r="G34" s="24"/>
      <c r="H34" s="24"/>
      <c r="I34" s="24"/>
      <c r="J34" s="24"/>
      <c r="K34" s="24"/>
    </row>
    <row r="35" spans="1:11" ht="9.75" customHeight="1" x14ac:dyDescent="0.2">
      <c r="A35" s="53" t="s">
        <v>132</v>
      </c>
      <c r="B35" s="54">
        <f>MAPA!A74</f>
        <v>4207</v>
      </c>
      <c r="C35" s="55"/>
      <c r="D35" s="56"/>
      <c r="E35" s="57"/>
      <c r="G35" s="53" t="s">
        <v>132</v>
      </c>
      <c r="H35" s="54">
        <f>MAPA!A75</f>
        <v>4208</v>
      </c>
      <c r="I35" s="55"/>
      <c r="J35" s="56"/>
      <c r="K35" s="57"/>
    </row>
    <row r="36" spans="1:11" ht="9.75" customHeight="1" x14ac:dyDescent="0.2">
      <c r="A36" s="40" t="s">
        <v>133</v>
      </c>
      <c r="B36" s="41" t="str">
        <f>MAPA!B74</f>
        <v>RN GIOVANA MEDEIROS (Camila)</v>
      </c>
      <c r="C36" s="24"/>
      <c r="D36" s="24"/>
      <c r="E36" s="31"/>
      <c r="G36" s="40" t="s">
        <v>133</v>
      </c>
      <c r="H36" s="41">
        <f>MAPA!B75</f>
        <v>0</v>
      </c>
      <c r="I36" s="24"/>
      <c r="J36" s="24"/>
      <c r="K36" s="31"/>
    </row>
    <row r="37" spans="1:11" ht="9.75" customHeight="1" x14ac:dyDescent="0.2">
      <c r="A37" s="43">
        <f>MAPA!D74</f>
        <v>62</v>
      </c>
      <c r="B37" s="44" t="s">
        <v>134</v>
      </c>
      <c r="C37" s="45" t="s">
        <v>135</v>
      </c>
      <c r="D37" s="44" t="str">
        <f>MAPA!C74</f>
        <v>VO</v>
      </c>
      <c r="E37" s="31" t="str">
        <f>MAPA!G74</f>
        <v>3/3H</v>
      </c>
      <c r="G37" s="43">
        <f>MAPA!D75</f>
        <v>0</v>
      </c>
      <c r="H37" s="44" t="s">
        <v>134</v>
      </c>
      <c r="I37" s="45" t="s">
        <v>135</v>
      </c>
      <c r="J37" s="44">
        <f>MAPA!C75</f>
        <v>0</v>
      </c>
      <c r="K37" s="31">
        <f>MAPA!G75</f>
        <v>0</v>
      </c>
    </row>
    <row r="38" spans="1:11" ht="9.75" customHeight="1" x14ac:dyDescent="0.2">
      <c r="A38" s="46" t="str">
        <f>MAPA!E74</f>
        <v>LM</v>
      </c>
      <c r="B38" s="44" t="str">
        <f>MAPA!F74</f>
        <v>FL 1º SEMESTRE</v>
      </c>
      <c r="C38" s="24"/>
      <c r="D38" s="24"/>
      <c r="E38" s="31"/>
      <c r="G38" s="46">
        <f>MAPA!E75</f>
        <v>0</v>
      </c>
      <c r="H38" s="44">
        <f>MAPA!F75</f>
        <v>0</v>
      </c>
      <c r="I38" s="24"/>
      <c r="J38" s="24"/>
      <c r="K38" s="31"/>
    </row>
    <row r="39" spans="1:11" ht="9.75" customHeight="1" thickBot="1" x14ac:dyDescent="0.25">
      <c r="A39" s="58" t="s">
        <v>137</v>
      </c>
      <c r="B39" s="59" t="s">
        <v>149</v>
      </c>
      <c r="C39" s="59"/>
      <c r="D39" s="59"/>
      <c r="E39" s="60"/>
      <c r="G39" s="58" t="s">
        <v>137</v>
      </c>
      <c r="H39" s="59" t="s">
        <v>149</v>
      </c>
      <c r="I39" s="59"/>
      <c r="J39" s="59"/>
      <c r="K39" s="60"/>
    </row>
    <row r="40" spans="1:11" ht="9.75" customHeight="1" x14ac:dyDescent="0.2">
      <c r="A40" s="232" t="s">
        <v>136</v>
      </c>
      <c r="B40" s="233"/>
      <c r="C40" s="228" t="str">
        <f>MAPA!A4</f>
        <v xml:space="preserve">DATA : 10/10/2019   </v>
      </c>
      <c r="D40" s="228"/>
      <c r="E40" s="39"/>
      <c r="G40" s="232" t="s">
        <v>136</v>
      </c>
      <c r="H40" s="233"/>
      <c r="I40" s="228" t="str">
        <f>MAPA!A4</f>
        <v xml:space="preserve">DATA : 10/10/2019   </v>
      </c>
      <c r="J40" s="228"/>
      <c r="K40" s="39"/>
    </row>
    <row r="41" spans="1:11" ht="9.75" customHeight="1" x14ac:dyDescent="0.2">
      <c r="A41" s="229" t="s">
        <v>150</v>
      </c>
      <c r="B41" s="230"/>
      <c r="C41" s="230"/>
      <c r="D41" s="230"/>
      <c r="E41" s="231"/>
      <c r="G41" s="229" t="s">
        <v>150</v>
      </c>
      <c r="H41" s="230"/>
      <c r="I41" s="230"/>
      <c r="J41" s="230"/>
      <c r="K41" s="231"/>
    </row>
    <row r="42" spans="1:11" s="34" customFormat="1" ht="9" customHeight="1" x14ac:dyDescent="0.25">
      <c r="A42" s="47" t="s">
        <v>191</v>
      </c>
      <c r="B42" s="48"/>
      <c r="C42" s="48"/>
      <c r="D42" s="48"/>
      <c r="E42" s="61" t="s">
        <v>139</v>
      </c>
      <c r="F42" s="49"/>
      <c r="G42" s="47" t="s">
        <v>191</v>
      </c>
      <c r="H42" s="48"/>
      <c r="I42" s="48"/>
      <c r="J42" s="48"/>
      <c r="K42" s="61" t="s">
        <v>139</v>
      </c>
    </row>
    <row r="43" spans="1:11" s="34" customFormat="1" ht="8.1" customHeight="1" x14ac:dyDescent="0.25">
      <c r="A43" s="50" t="s">
        <v>138</v>
      </c>
      <c r="B43" s="51"/>
      <c r="C43" s="51"/>
      <c r="D43" s="51"/>
      <c r="E43" s="52"/>
      <c r="F43" s="49"/>
      <c r="G43" s="50" t="s">
        <v>138</v>
      </c>
      <c r="H43" s="51"/>
      <c r="I43" s="51"/>
      <c r="J43" s="51"/>
      <c r="K43" s="52"/>
    </row>
    <row r="44" spans="1:11" s="24" customFormat="1" ht="9.75" customHeight="1" x14ac:dyDescent="0.2"/>
    <row r="45" spans="1:11" ht="9.75" customHeight="1" thickBot="1" x14ac:dyDescent="0.25">
      <c r="A45" s="24"/>
      <c r="B45" s="24"/>
      <c r="C45" s="24"/>
      <c r="D45" s="24"/>
      <c r="E45" s="24"/>
      <c r="G45" s="24"/>
      <c r="H45" s="24"/>
      <c r="I45" s="24"/>
      <c r="J45" s="24"/>
      <c r="K45" s="24"/>
    </row>
    <row r="46" spans="1:11" ht="9.75" customHeight="1" x14ac:dyDescent="0.2">
      <c r="A46" s="53" t="s">
        <v>132</v>
      </c>
      <c r="B46" s="54">
        <f>MAPA!A76</f>
        <v>4209</v>
      </c>
      <c r="C46" s="55"/>
      <c r="D46" s="56"/>
      <c r="E46" s="57"/>
      <c r="G46" s="53" t="s">
        <v>132</v>
      </c>
      <c r="H46" s="54">
        <f>MAPA!A77</f>
        <v>4210</v>
      </c>
      <c r="I46" s="55"/>
      <c r="J46" s="56"/>
      <c r="K46" s="57"/>
    </row>
    <row r="47" spans="1:11" ht="9.75" customHeight="1" x14ac:dyDescent="0.2">
      <c r="A47" s="40" t="s">
        <v>133</v>
      </c>
      <c r="B47" s="41" t="str">
        <f>MAPA!B76</f>
        <v>RN DE DANIELA ARAGÃO  MAUER (Marco Antônio)</v>
      </c>
      <c r="C47" s="24"/>
      <c r="D47" s="24"/>
      <c r="E47" s="31"/>
      <c r="G47" s="40" t="s">
        <v>133</v>
      </c>
      <c r="H47" s="41" t="str">
        <f>MAPA!B77</f>
        <v>RN DE DEZERRE DA ROSA AGUIRRE (Murilo)</v>
      </c>
      <c r="I47" s="24"/>
      <c r="J47" s="24"/>
      <c r="K47" s="31"/>
    </row>
    <row r="48" spans="1:11" ht="9.75" customHeight="1" x14ac:dyDescent="0.2">
      <c r="A48" s="43">
        <f>MAPA!D76</f>
        <v>50</v>
      </c>
      <c r="B48" s="44" t="s">
        <v>134</v>
      </c>
      <c r="C48" s="45" t="s">
        <v>135</v>
      </c>
      <c r="D48" s="44" t="str">
        <f>MAPA!C76</f>
        <v>SOG</v>
      </c>
      <c r="E48" s="31">
        <f>MAPA!G16</f>
        <v>0</v>
      </c>
      <c r="G48" s="43">
        <f>MAPA!D77</f>
        <v>50</v>
      </c>
      <c r="H48" s="44" t="s">
        <v>134</v>
      </c>
      <c r="I48" s="45" t="s">
        <v>135</v>
      </c>
      <c r="J48" s="44" t="str">
        <f>MAPA!C77</f>
        <v>VO</v>
      </c>
      <c r="K48" s="31" t="str">
        <f>MAPA!G77</f>
        <v>3/3H</v>
      </c>
    </row>
    <row r="49" spans="1:11" ht="9.75" customHeight="1" x14ac:dyDescent="0.2">
      <c r="A49" s="46" t="str">
        <f>MAPA!E76</f>
        <v>LM</v>
      </c>
      <c r="B49" s="44" t="str">
        <f>MAPA!F76</f>
        <v>FL 1º SEMESTRE</v>
      </c>
      <c r="C49" s="24"/>
      <c r="D49" s="24"/>
      <c r="E49" s="31"/>
      <c r="G49" s="46" t="str">
        <f>MAPA!E77</f>
        <v>LM</v>
      </c>
      <c r="H49" s="44" t="str">
        <f>MAPA!F77</f>
        <v>FL 1º SEMESTRE</v>
      </c>
      <c r="I49" s="24"/>
      <c r="J49" s="24"/>
      <c r="K49" s="31"/>
    </row>
    <row r="50" spans="1:11" ht="9.75" customHeight="1" thickBot="1" x14ac:dyDescent="0.25">
      <c r="A50" s="58" t="s">
        <v>137</v>
      </c>
      <c r="B50" s="59" t="s">
        <v>149</v>
      </c>
      <c r="C50" s="59"/>
      <c r="D50" s="59"/>
      <c r="E50" s="60"/>
      <c r="G50" s="58" t="s">
        <v>137</v>
      </c>
      <c r="H50" s="59" t="s">
        <v>149</v>
      </c>
      <c r="I50" s="59"/>
      <c r="J50" s="59"/>
      <c r="K50" s="60"/>
    </row>
    <row r="51" spans="1:11" ht="9.75" customHeight="1" x14ac:dyDescent="0.2">
      <c r="A51" s="232" t="s">
        <v>136</v>
      </c>
      <c r="B51" s="233"/>
      <c r="C51" s="228" t="str">
        <f>MAPA!A4</f>
        <v xml:space="preserve">DATA : 10/10/2019   </v>
      </c>
      <c r="D51" s="228"/>
      <c r="E51" s="39"/>
      <c r="G51" s="232" t="s">
        <v>136</v>
      </c>
      <c r="H51" s="233"/>
      <c r="I51" s="228" t="str">
        <f>MAPA!A4</f>
        <v xml:space="preserve">DATA : 10/10/2019   </v>
      </c>
      <c r="J51" s="228"/>
      <c r="K51" s="39"/>
    </row>
    <row r="52" spans="1:11" ht="9.75" customHeight="1" x14ac:dyDescent="0.2">
      <c r="A52" s="229" t="s">
        <v>150</v>
      </c>
      <c r="B52" s="230"/>
      <c r="C52" s="230"/>
      <c r="D52" s="230"/>
      <c r="E52" s="231"/>
      <c r="G52" s="229" t="s">
        <v>150</v>
      </c>
      <c r="H52" s="230"/>
      <c r="I52" s="230"/>
      <c r="J52" s="230"/>
      <c r="K52" s="231"/>
    </row>
    <row r="53" spans="1:11" s="34" customFormat="1" ht="9" customHeight="1" x14ac:dyDescent="0.25">
      <c r="A53" s="47" t="s">
        <v>191</v>
      </c>
      <c r="B53" s="48"/>
      <c r="C53" s="48"/>
      <c r="D53" s="48"/>
      <c r="E53" s="61" t="s">
        <v>139</v>
      </c>
      <c r="F53" s="49"/>
      <c r="G53" s="47" t="s">
        <v>191</v>
      </c>
      <c r="H53" s="48"/>
      <c r="I53" s="48"/>
      <c r="J53" s="48"/>
      <c r="K53" s="61" t="s">
        <v>139</v>
      </c>
    </row>
    <row r="54" spans="1:11" s="34" customFormat="1" ht="8.1" customHeight="1" x14ac:dyDescent="0.25">
      <c r="A54" s="50" t="s">
        <v>138</v>
      </c>
      <c r="B54" s="51"/>
      <c r="C54" s="51"/>
      <c r="D54" s="51"/>
      <c r="E54" s="52"/>
      <c r="F54" s="49"/>
      <c r="G54" s="50" t="s">
        <v>138</v>
      </c>
      <c r="H54" s="51"/>
      <c r="I54" s="51"/>
      <c r="J54" s="51"/>
      <c r="K54" s="52"/>
    </row>
    <row r="55" spans="1:11" s="24" customFormat="1" ht="9.75" customHeight="1" x14ac:dyDescent="0.2"/>
    <row r="56" spans="1:11" ht="9.75" customHeight="1" thickBot="1" x14ac:dyDescent="0.25"/>
    <row r="57" spans="1:11" ht="9.75" customHeight="1" x14ac:dyDescent="0.2">
      <c r="A57" s="53" t="s">
        <v>132</v>
      </c>
      <c r="B57" s="54">
        <f>MAPA!A78</f>
        <v>4211</v>
      </c>
      <c r="C57" s="55"/>
      <c r="D57" s="56"/>
      <c r="E57" s="57"/>
      <c r="G57" s="53" t="s">
        <v>132</v>
      </c>
      <c r="H57" s="54">
        <f>MAPA!A79</f>
        <v>4212</v>
      </c>
      <c r="I57" s="55"/>
      <c r="J57" s="56"/>
      <c r="K57" s="57"/>
    </row>
    <row r="58" spans="1:11" ht="9.75" customHeight="1" x14ac:dyDescent="0.2">
      <c r="A58" s="40" t="s">
        <v>133</v>
      </c>
      <c r="B58" s="41" t="str">
        <f>MAPA!B78</f>
        <v>RN DE MAIRA DANIELE</v>
      </c>
      <c r="C58" s="24"/>
      <c r="D58" s="24"/>
      <c r="E58" s="31"/>
      <c r="G58" s="40" t="s">
        <v>133</v>
      </c>
      <c r="H58" s="41">
        <f>MAPA!B79</f>
        <v>0</v>
      </c>
      <c r="I58" s="24"/>
      <c r="J58" s="24"/>
      <c r="K58" s="31"/>
    </row>
    <row r="59" spans="1:11" ht="9.75" customHeight="1" x14ac:dyDescent="0.2">
      <c r="A59" s="43">
        <f>MAPA!D78</f>
        <v>9</v>
      </c>
      <c r="B59" s="44" t="s">
        <v>134</v>
      </c>
      <c r="C59" s="45" t="s">
        <v>135</v>
      </c>
      <c r="D59" s="44" t="str">
        <f>MAPA!C78</f>
        <v>SNG</v>
      </c>
      <c r="E59" s="31" t="str">
        <f>MAPA!G78</f>
        <v>3/3H</v>
      </c>
      <c r="G59" s="43">
        <f>MAPA!D79</f>
        <v>0</v>
      </c>
      <c r="H59" s="44" t="s">
        <v>134</v>
      </c>
      <c r="I59" s="45" t="s">
        <v>135</v>
      </c>
      <c r="J59" s="44">
        <f>MAPA!C79</f>
        <v>0</v>
      </c>
      <c r="K59" s="31">
        <f>MAPA!G79</f>
        <v>0</v>
      </c>
    </row>
    <row r="60" spans="1:11" ht="9.75" customHeight="1" x14ac:dyDescent="0.2">
      <c r="A60" s="46" t="str">
        <f>MAPA!E78</f>
        <v>LM</v>
      </c>
      <c r="B60" s="44" t="str">
        <f>MAPA!F78</f>
        <v>FL 1° SEMESTRE</v>
      </c>
      <c r="C60" s="24"/>
      <c r="D60" s="24"/>
      <c r="E60" s="31"/>
      <c r="G60" s="46">
        <f>MAPA!E79</f>
        <v>0</v>
      </c>
      <c r="H60" s="44">
        <f>MAPA!F79</f>
        <v>0</v>
      </c>
      <c r="I60" s="24"/>
      <c r="J60" s="24"/>
      <c r="K60" s="31"/>
    </row>
    <row r="61" spans="1:11" ht="9.75" customHeight="1" thickBot="1" x14ac:dyDescent="0.25">
      <c r="A61" s="58" t="s">
        <v>137</v>
      </c>
      <c r="B61" s="59" t="s">
        <v>149</v>
      </c>
      <c r="C61" s="59"/>
      <c r="D61" s="59"/>
      <c r="E61" s="60"/>
      <c r="G61" s="58" t="s">
        <v>137</v>
      </c>
      <c r="H61" s="59" t="s">
        <v>149</v>
      </c>
      <c r="I61" s="59"/>
      <c r="J61" s="59"/>
      <c r="K61" s="60"/>
    </row>
    <row r="62" spans="1:11" ht="9.75" customHeight="1" x14ac:dyDescent="0.2">
      <c r="A62" s="232" t="s">
        <v>136</v>
      </c>
      <c r="B62" s="233"/>
      <c r="C62" s="228" t="str">
        <f>MAPA!A4</f>
        <v xml:space="preserve">DATA : 10/10/2019   </v>
      </c>
      <c r="D62" s="228"/>
      <c r="E62" s="39"/>
      <c r="G62" s="232" t="s">
        <v>136</v>
      </c>
      <c r="H62" s="233"/>
      <c r="I62" s="228" t="str">
        <f>MAPA!A4</f>
        <v xml:space="preserve">DATA : 10/10/2019   </v>
      </c>
      <c r="J62" s="228"/>
      <c r="K62" s="39"/>
    </row>
    <row r="63" spans="1:11" ht="9.75" customHeight="1" x14ac:dyDescent="0.2">
      <c r="A63" s="229" t="s">
        <v>150</v>
      </c>
      <c r="B63" s="230"/>
      <c r="C63" s="230"/>
      <c r="D63" s="230"/>
      <c r="E63" s="231"/>
      <c r="G63" s="229" t="s">
        <v>150</v>
      </c>
      <c r="H63" s="230"/>
      <c r="I63" s="230"/>
      <c r="J63" s="230"/>
      <c r="K63" s="231"/>
    </row>
    <row r="64" spans="1:11" s="34" customFormat="1" ht="9" customHeight="1" x14ac:dyDescent="0.25">
      <c r="A64" s="47" t="s">
        <v>191</v>
      </c>
      <c r="B64" s="48"/>
      <c r="C64" s="48"/>
      <c r="D64" s="48"/>
      <c r="E64" s="61" t="s">
        <v>139</v>
      </c>
      <c r="F64" s="49"/>
      <c r="G64" s="47" t="s">
        <v>191</v>
      </c>
      <c r="H64" s="48"/>
      <c r="I64" s="48"/>
      <c r="J64" s="48"/>
      <c r="K64" s="61" t="s">
        <v>139</v>
      </c>
    </row>
    <row r="65" spans="1:11" s="34" customFormat="1" ht="8.1" customHeight="1" x14ac:dyDescent="0.25">
      <c r="A65" s="50" t="s">
        <v>138</v>
      </c>
      <c r="B65" s="51"/>
      <c r="C65" s="51"/>
      <c r="D65" s="51"/>
      <c r="E65" s="52"/>
      <c r="F65" s="49"/>
      <c r="G65" s="50" t="s">
        <v>138</v>
      </c>
      <c r="H65" s="51"/>
      <c r="I65" s="51"/>
      <c r="J65" s="51"/>
      <c r="K65" s="52"/>
    </row>
    <row r="66" spans="1:11" s="24" customFormat="1" ht="9.75" customHeight="1" x14ac:dyDescent="0.2"/>
    <row r="67" spans="1:11" ht="9.75" customHeight="1" thickBot="1" x14ac:dyDescent="0.25">
      <c r="A67" s="24"/>
      <c r="B67" s="24"/>
      <c r="C67" s="24"/>
      <c r="D67" s="24"/>
      <c r="E67" s="24"/>
      <c r="G67" s="24"/>
      <c r="H67" s="24"/>
      <c r="I67" s="24"/>
      <c r="J67" s="24"/>
      <c r="K67" s="24"/>
    </row>
    <row r="68" spans="1:11" ht="9.75" customHeight="1" x14ac:dyDescent="0.2">
      <c r="A68" s="53" t="s">
        <v>132</v>
      </c>
      <c r="B68" s="54">
        <f>MAPA!A80</f>
        <v>4213</v>
      </c>
      <c r="C68" s="55"/>
      <c r="D68" s="56"/>
      <c r="E68" s="57"/>
      <c r="G68" s="53" t="s">
        <v>132</v>
      </c>
      <c r="H68" s="54">
        <f>MAPA!A81</f>
        <v>4214</v>
      </c>
      <c r="I68" s="55"/>
      <c r="J68" s="56"/>
      <c r="K68" s="57"/>
    </row>
    <row r="69" spans="1:11" ht="9.75" customHeight="1" x14ac:dyDescent="0.2">
      <c r="A69" s="40" t="s">
        <v>133</v>
      </c>
      <c r="B69" s="41">
        <f>MAPA!B80</f>
        <v>0</v>
      </c>
      <c r="C69" s="24"/>
      <c r="D69" s="24"/>
      <c r="E69" s="31"/>
      <c r="G69" s="40" t="s">
        <v>133</v>
      </c>
      <c r="H69" s="41" t="str">
        <f>MAPA!B81</f>
        <v>RN MILENA DA CRUZ PARANHOS (Felipe)</v>
      </c>
      <c r="I69" s="24"/>
      <c r="J69" s="24"/>
      <c r="K69" s="31"/>
    </row>
    <row r="70" spans="1:11" ht="9.75" customHeight="1" x14ac:dyDescent="0.2">
      <c r="A70" s="43">
        <f>MAPA!D80</f>
        <v>0</v>
      </c>
      <c r="B70" s="44" t="s">
        <v>134</v>
      </c>
      <c r="C70" s="45" t="s">
        <v>135</v>
      </c>
      <c r="D70" s="44">
        <f>MAPA!C80</f>
        <v>0</v>
      </c>
      <c r="E70" s="31">
        <f>MAPA!G80</f>
        <v>0</v>
      </c>
      <c r="G70" s="43">
        <f>MAPA!D81</f>
        <v>60</v>
      </c>
      <c r="H70" s="44" t="s">
        <v>134</v>
      </c>
      <c r="I70" s="45" t="s">
        <v>135</v>
      </c>
      <c r="J70" s="44" t="str">
        <f>MAPA!C81</f>
        <v>VO</v>
      </c>
      <c r="K70" s="31" t="str">
        <f>MAPA!G81</f>
        <v>3/3H</v>
      </c>
    </row>
    <row r="71" spans="1:11" ht="9.75" customHeight="1" x14ac:dyDescent="0.2">
      <c r="A71" s="46">
        <f>MAPA!E80</f>
        <v>0</v>
      </c>
      <c r="B71" s="44">
        <f>MAPA!F80</f>
        <v>0</v>
      </c>
      <c r="C71" s="24"/>
      <c r="D71" s="24"/>
      <c r="E71" s="31"/>
      <c r="G71" s="46" t="str">
        <f>MAPA!E81</f>
        <v>LM</v>
      </c>
      <c r="H71" s="44" t="str">
        <f>MAPA!F81</f>
        <v>FL HIDROLISADA</v>
      </c>
      <c r="I71" s="24"/>
      <c r="J71" s="24"/>
      <c r="K71" s="31"/>
    </row>
    <row r="72" spans="1:11" ht="9.75" customHeight="1" thickBot="1" x14ac:dyDescent="0.25">
      <c r="A72" s="58" t="s">
        <v>137</v>
      </c>
      <c r="B72" s="59" t="s">
        <v>149</v>
      </c>
      <c r="C72" s="59"/>
      <c r="D72" s="59"/>
      <c r="E72" s="60"/>
      <c r="G72" s="58" t="s">
        <v>137</v>
      </c>
      <c r="H72" s="59" t="s">
        <v>149</v>
      </c>
      <c r="I72" s="59"/>
      <c r="J72" s="59"/>
      <c r="K72" s="60"/>
    </row>
    <row r="73" spans="1:11" ht="9.75" customHeight="1" x14ac:dyDescent="0.2">
      <c r="A73" s="232" t="s">
        <v>136</v>
      </c>
      <c r="B73" s="233"/>
      <c r="C73" s="228" t="str">
        <f>MAPA!A4</f>
        <v xml:space="preserve">DATA : 10/10/2019   </v>
      </c>
      <c r="D73" s="228"/>
      <c r="E73" s="39"/>
      <c r="G73" s="232" t="s">
        <v>136</v>
      </c>
      <c r="H73" s="233"/>
      <c r="I73" s="228" t="str">
        <f>MAPA!A4</f>
        <v xml:space="preserve">DATA : 10/10/2019   </v>
      </c>
      <c r="J73" s="228"/>
      <c r="K73" s="39"/>
    </row>
    <row r="74" spans="1:11" ht="9.75" customHeight="1" x14ac:dyDescent="0.2">
      <c r="A74" s="229" t="s">
        <v>150</v>
      </c>
      <c r="B74" s="230"/>
      <c r="C74" s="230"/>
      <c r="D74" s="230"/>
      <c r="E74" s="231"/>
      <c r="G74" s="229" t="s">
        <v>150</v>
      </c>
      <c r="H74" s="230"/>
      <c r="I74" s="230"/>
      <c r="J74" s="230"/>
      <c r="K74" s="231"/>
    </row>
    <row r="75" spans="1:11" s="34" customFormat="1" ht="9" customHeight="1" x14ac:dyDescent="0.25">
      <c r="A75" s="47" t="s">
        <v>191</v>
      </c>
      <c r="B75" s="48"/>
      <c r="C75" s="48"/>
      <c r="D75" s="48"/>
      <c r="E75" s="61" t="s">
        <v>139</v>
      </c>
      <c r="F75" s="49"/>
      <c r="G75" s="47" t="s">
        <v>191</v>
      </c>
      <c r="H75" s="48"/>
      <c r="I75" s="48"/>
      <c r="J75" s="48"/>
      <c r="K75" s="61" t="s">
        <v>139</v>
      </c>
    </row>
    <row r="76" spans="1:11" s="34" customFormat="1" ht="8.1" customHeight="1" x14ac:dyDescent="0.25">
      <c r="A76" s="50" t="s">
        <v>138</v>
      </c>
      <c r="B76" s="51"/>
      <c r="C76" s="51"/>
      <c r="D76" s="51"/>
      <c r="E76" s="52"/>
      <c r="F76" s="49"/>
      <c r="G76" s="50" t="s">
        <v>138</v>
      </c>
      <c r="H76" s="51"/>
      <c r="I76" s="51"/>
      <c r="J76" s="51"/>
      <c r="K76" s="52"/>
    </row>
    <row r="77" spans="1:11" s="24" customFormat="1" ht="9.75" customHeight="1" x14ac:dyDescent="0.2"/>
    <row r="78" spans="1:11" ht="9.75" customHeight="1" thickBot="1" x14ac:dyDescent="0.25">
      <c r="A78" s="24"/>
      <c r="B78" s="24"/>
      <c r="C78" s="24"/>
      <c r="D78" s="24"/>
      <c r="E78" s="24"/>
      <c r="G78" s="24"/>
      <c r="H78" s="24"/>
      <c r="I78" s="24"/>
      <c r="J78" s="24"/>
      <c r="K78" s="24"/>
    </row>
    <row r="79" spans="1:11" ht="9.75" customHeight="1" x14ac:dyDescent="0.2">
      <c r="A79" s="53" t="s">
        <v>132</v>
      </c>
      <c r="B79" s="54">
        <f>MAPA!A82</f>
        <v>4214</v>
      </c>
      <c r="C79" s="55"/>
      <c r="D79" s="56"/>
      <c r="E79" s="57"/>
      <c r="G79" s="53" t="s">
        <v>132</v>
      </c>
      <c r="H79" s="54">
        <f>MAPA!A83</f>
        <v>4216</v>
      </c>
      <c r="I79" s="55"/>
      <c r="J79" s="56"/>
      <c r="K79" s="57"/>
    </row>
    <row r="80" spans="1:11" ht="9.75" customHeight="1" x14ac:dyDescent="0.2">
      <c r="A80" s="40" t="s">
        <v>133</v>
      </c>
      <c r="B80" s="41">
        <f>MAPA!B82</f>
        <v>0</v>
      </c>
      <c r="C80" s="24"/>
      <c r="D80" s="24"/>
      <c r="E80" s="31"/>
      <c r="G80" s="40" t="s">
        <v>133</v>
      </c>
      <c r="H80" s="41">
        <f>MAPA!B83</f>
        <v>0</v>
      </c>
      <c r="I80" s="24"/>
      <c r="J80" s="24"/>
      <c r="K80" s="31"/>
    </row>
    <row r="81" spans="1:11" ht="9.75" customHeight="1" x14ac:dyDescent="0.2">
      <c r="A81" s="43">
        <f>MAPA!D82</f>
        <v>0</v>
      </c>
      <c r="B81" s="44" t="s">
        <v>134</v>
      </c>
      <c r="C81" s="45" t="s">
        <v>135</v>
      </c>
      <c r="D81" s="44">
        <f>MAPA!C82</f>
        <v>0</v>
      </c>
      <c r="E81" s="31">
        <f>MAPA!G82</f>
        <v>0</v>
      </c>
      <c r="G81" s="43">
        <f>MAPA!D83</f>
        <v>0</v>
      </c>
      <c r="H81" s="44" t="s">
        <v>134</v>
      </c>
      <c r="I81" s="45" t="s">
        <v>135</v>
      </c>
      <c r="J81" s="44">
        <f>MAPA!C83</f>
        <v>0</v>
      </c>
      <c r="K81" s="31">
        <f>MAPA!G83</f>
        <v>0</v>
      </c>
    </row>
    <row r="82" spans="1:11" ht="9.75" customHeight="1" x14ac:dyDescent="0.2">
      <c r="A82" s="46">
        <f>MAPA!E82</f>
        <v>0</v>
      </c>
      <c r="B82" s="44">
        <f>MAPA!F82</f>
        <v>0</v>
      </c>
      <c r="C82" s="24"/>
      <c r="D82" s="24"/>
      <c r="E82" s="31"/>
      <c r="G82" s="46">
        <f>MAPA!E83</f>
        <v>0</v>
      </c>
      <c r="H82" s="44">
        <f>MAPA!F83</f>
        <v>0</v>
      </c>
      <c r="I82" s="24"/>
      <c r="J82" s="24"/>
      <c r="K82" s="31"/>
    </row>
    <row r="83" spans="1:11" ht="9.75" customHeight="1" thickBot="1" x14ac:dyDescent="0.25">
      <c r="A83" s="58" t="s">
        <v>137</v>
      </c>
      <c r="B83" s="59" t="s">
        <v>149</v>
      </c>
      <c r="C83" s="59"/>
      <c r="D83" s="59"/>
      <c r="E83" s="60"/>
      <c r="G83" s="58" t="s">
        <v>137</v>
      </c>
      <c r="H83" s="59" t="s">
        <v>149</v>
      </c>
      <c r="I83" s="59"/>
      <c r="J83" s="59"/>
      <c r="K83" s="60"/>
    </row>
    <row r="84" spans="1:11" ht="9.75" customHeight="1" x14ac:dyDescent="0.2">
      <c r="A84" s="232" t="s">
        <v>136</v>
      </c>
      <c r="B84" s="233"/>
      <c r="C84" s="228" t="str">
        <f>MAPA!A4</f>
        <v xml:space="preserve">DATA : 10/10/2019   </v>
      </c>
      <c r="D84" s="228"/>
      <c r="E84" s="39"/>
      <c r="G84" s="232" t="s">
        <v>136</v>
      </c>
      <c r="H84" s="233"/>
      <c r="I84" s="228" t="str">
        <f>MAPA!A4</f>
        <v xml:space="preserve">DATA : 10/10/2019   </v>
      </c>
      <c r="J84" s="228"/>
      <c r="K84" s="39"/>
    </row>
    <row r="85" spans="1:11" ht="9.75" customHeight="1" x14ac:dyDescent="0.2">
      <c r="A85" s="229" t="s">
        <v>150</v>
      </c>
      <c r="B85" s="230"/>
      <c r="C85" s="230"/>
      <c r="D85" s="230"/>
      <c r="E85" s="231"/>
      <c r="G85" s="229" t="s">
        <v>150</v>
      </c>
      <c r="H85" s="230"/>
      <c r="I85" s="230"/>
      <c r="J85" s="230"/>
      <c r="K85" s="231"/>
    </row>
    <row r="86" spans="1:11" s="34" customFormat="1" ht="9" customHeight="1" x14ac:dyDescent="0.25">
      <c r="A86" s="47" t="s">
        <v>191</v>
      </c>
      <c r="B86" s="48"/>
      <c r="C86" s="48"/>
      <c r="D86" s="48"/>
      <c r="E86" s="61" t="s">
        <v>139</v>
      </c>
      <c r="F86" s="49"/>
      <c r="G86" s="47" t="s">
        <v>191</v>
      </c>
      <c r="H86" s="48"/>
      <c r="I86" s="48"/>
      <c r="J86" s="48"/>
      <c r="K86" s="61" t="s">
        <v>139</v>
      </c>
    </row>
    <row r="87" spans="1:11" s="34" customFormat="1" ht="8.1" customHeight="1" x14ac:dyDescent="0.25">
      <c r="A87" s="50" t="s">
        <v>138</v>
      </c>
      <c r="B87" s="51"/>
      <c r="C87" s="51"/>
      <c r="D87" s="51"/>
      <c r="E87" s="52"/>
      <c r="F87" s="49"/>
      <c r="G87" s="50" t="s">
        <v>138</v>
      </c>
      <c r="H87" s="51"/>
      <c r="I87" s="51"/>
      <c r="J87" s="51"/>
      <c r="K87" s="52"/>
    </row>
    <row r="88" spans="1:11" s="24" customFormat="1" ht="9.75" customHeight="1" x14ac:dyDescent="0.2"/>
    <row r="89" spans="1:11" ht="9.75" customHeight="1" thickBot="1" x14ac:dyDescent="0.25">
      <c r="A89" s="24"/>
      <c r="B89" s="24"/>
      <c r="C89" s="24"/>
      <c r="D89" s="24"/>
      <c r="E89" s="24"/>
      <c r="G89" s="24"/>
      <c r="H89" s="24"/>
      <c r="I89" s="24"/>
      <c r="J89" s="24"/>
      <c r="K89" s="24"/>
    </row>
    <row r="90" spans="1:11" ht="9.75" customHeight="1" x14ac:dyDescent="0.2">
      <c r="A90" s="53" t="s">
        <v>132</v>
      </c>
      <c r="B90" s="54">
        <f>MAPA!A84</f>
        <v>4217</v>
      </c>
      <c r="C90" s="55"/>
      <c r="D90" s="56"/>
      <c r="E90" s="57"/>
      <c r="G90" s="53" t="s">
        <v>132</v>
      </c>
      <c r="H90" s="54">
        <f>MAPA!A85</f>
        <v>4218</v>
      </c>
      <c r="I90" s="55"/>
      <c r="J90" s="56"/>
      <c r="K90" s="57"/>
    </row>
    <row r="91" spans="1:11" ht="9.75" customHeight="1" x14ac:dyDescent="0.2">
      <c r="A91" s="40" t="s">
        <v>133</v>
      </c>
      <c r="B91" s="41">
        <f>MAPA!B84</f>
        <v>0</v>
      </c>
      <c r="C91" s="24"/>
      <c r="D91" s="24"/>
      <c r="E91" s="31"/>
      <c r="G91" s="40" t="s">
        <v>133</v>
      </c>
      <c r="H91" s="41">
        <f>MAPA!B85</f>
        <v>0</v>
      </c>
      <c r="I91" s="24"/>
      <c r="J91" s="24"/>
      <c r="K91" s="31"/>
    </row>
    <row r="92" spans="1:11" ht="9.75" customHeight="1" x14ac:dyDescent="0.2">
      <c r="A92" s="43">
        <f>MAPA!D84</f>
        <v>0</v>
      </c>
      <c r="B92" s="44" t="s">
        <v>134</v>
      </c>
      <c r="C92" s="45" t="s">
        <v>135</v>
      </c>
      <c r="D92" s="44">
        <f>MAPA!C84</f>
        <v>0</v>
      </c>
      <c r="E92" s="31">
        <f>MAPA!G84</f>
        <v>0</v>
      </c>
      <c r="G92" s="43">
        <f>MAPA!D85</f>
        <v>0</v>
      </c>
      <c r="H92" s="44" t="s">
        <v>134</v>
      </c>
      <c r="I92" s="45" t="s">
        <v>135</v>
      </c>
      <c r="J92" s="44">
        <f>MAPA!C85</f>
        <v>0</v>
      </c>
      <c r="K92" s="31">
        <f>MAPA!G85</f>
        <v>0</v>
      </c>
    </row>
    <row r="93" spans="1:11" ht="9.75" customHeight="1" x14ac:dyDescent="0.2">
      <c r="A93" s="46">
        <f>MAPA!E84</f>
        <v>0</v>
      </c>
      <c r="B93" s="44">
        <f>MAPA!F84</f>
        <v>0</v>
      </c>
      <c r="C93" s="24"/>
      <c r="D93" s="24"/>
      <c r="E93" s="31"/>
      <c r="G93" s="46">
        <f>MAPA!E85</f>
        <v>0</v>
      </c>
      <c r="H93" s="44">
        <f>MAPA!F85</f>
        <v>0</v>
      </c>
      <c r="I93" s="24"/>
      <c r="J93" s="24"/>
      <c r="K93" s="31"/>
    </row>
    <row r="94" spans="1:11" ht="9.75" customHeight="1" thickBot="1" x14ac:dyDescent="0.25">
      <c r="A94" s="58" t="s">
        <v>137</v>
      </c>
      <c r="B94" s="59" t="s">
        <v>149</v>
      </c>
      <c r="C94" s="59"/>
      <c r="D94" s="59"/>
      <c r="E94" s="60"/>
      <c r="G94" s="58" t="s">
        <v>137</v>
      </c>
      <c r="H94" s="59" t="s">
        <v>149</v>
      </c>
      <c r="I94" s="59"/>
      <c r="J94" s="59"/>
      <c r="K94" s="60"/>
    </row>
    <row r="95" spans="1:11" ht="9.75" customHeight="1" x14ac:dyDescent="0.2">
      <c r="A95" s="232" t="s">
        <v>136</v>
      </c>
      <c r="B95" s="233"/>
      <c r="C95" s="228" t="str">
        <f>MAPA!A4</f>
        <v xml:space="preserve">DATA : 10/10/2019   </v>
      </c>
      <c r="D95" s="228"/>
      <c r="E95" s="39"/>
      <c r="G95" s="232" t="s">
        <v>136</v>
      </c>
      <c r="H95" s="233"/>
      <c r="I95" s="228" t="str">
        <f>MAPA!A4</f>
        <v xml:space="preserve">DATA : 10/10/2019   </v>
      </c>
      <c r="J95" s="228"/>
      <c r="K95" s="39"/>
    </row>
    <row r="96" spans="1:11" ht="9.75" customHeight="1" x14ac:dyDescent="0.2">
      <c r="A96" s="229" t="s">
        <v>150</v>
      </c>
      <c r="B96" s="230"/>
      <c r="C96" s="230"/>
      <c r="D96" s="230"/>
      <c r="E96" s="231"/>
      <c r="G96" s="229" t="s">
        <v>150</v>
      </c>
      <c r="H96" s="230"/>
      <c r="I96" s="230"/>
      <c r="J96" s="230"/>
      <c r="K96" s="231"/>
    </row>
    <row r="97" spans="1:11" s="34" customFormat="1" ht="9" customHeight="1" x14ac:dyDescent="0.25">
      <c r="A97" s="47" t="s">
        <v>191</v>
      </c>
      <c r="B97" s="48"/>
      <c r="C97" s="48"/>
      <c r="D97" s="48"/>
      <c r="E97" s="61" t="s">
        <v>139</v>
      </c>
      <c r="F97" s="49"/>
      <c r="G97" s="47" t="s">
        <v>191</v>
      </c>
      <c r="H97" s="48"/>
      <c r="I97" s="48"/>
      <c r="J97" s="48"/>
      <c r="K97" s="61" t="s">
        <v>139</v>
      </c>
    </row>
    <row r="98" spans="1:11" s="34" customFormat="1" ht="8.1" customHeight="1" x14ac:dyDescent="0.25">
      <c r="A98" s="50" t="s">
        <v>138</v>
      </c>
      <c r="B98" s="51"/>
      <c r="C98" s="51"/>
      <c r="D98" s="51"/>
      <c r="E98" s="52"/>
      <c r="F98" s="49"/>
      <c r="G98" s="50" t="s">
        <v>138</v>
      </c>
      <c r="H98" s="51"/>
      <c r="I98" s="51"/>
      <c r="J98" s="51"/>
      <c r="K98" s="52"/>
    </row>
    <row r="99" spans="1:11" s="24" customFormat="1" ht="9.75" customHeight="1" x14ac:dyDescent="0.2"/>
    <row r="100" spans="1:11" ht="9.75" customHeight="1" thickBot="1" x14ac:dyDescent="0.25">
      <c r="A100" s="24"/>
      <c r="B100" s="24"/>
      <c r="C100" s="24"/>
      <c r="D100" s="24"/>
      <c r="E100" s="24"/>
      <c r="G100" s="24"/>
      <c r="H100" s="24"/>
      <c r="I100" s="24"/>
      <c r="J100" s="24"/>
      <c r="K100" s="24"/>
    </row>
    <row r="101" spans="1:11" ht="9.75" customHeight="1" x14ac:dyDescent="0.2">
      <c r="A101" s="53" t="s">
        <v>132</v>
      </c>
      <c r="B101" s="54">
        <f>MAPA!A86</f>
        <v>4219</v>
      </c>
      <c r="C101" s="55"/>
      <c r="D101" s="56"/>
      <c r="E101" s="57"/>
      <c r="G101" s="53" t="s">
        <v>132</v>
      </c>
      <c r="H101" s="54"/>
      <c r="I101" s="55"/>
      <c r="J101" s="56"/>
      <c r="K101" s="57"/>
    </row>
    <row r="102" spans="1:11" ht="9.75" customHeight="1" x14ac:dyDescent="0.2">
      <c r="A102" s="40" t="s">
        <v>133</v>
      </c>
      <c r="B102" s="41">
        <f>MAPA!B86</f>
        <v>0</v>
      </c>
      <c r="C102" s="24"/>
      <c r="D102" s="24"/>
      <c r="E102" s="31"/>
      <c r="G102" s="40" t="s">
        <v>133</v>
      </c>
      <c r="H102" s="41"/>
      <c r="I102" s="24"/>
      <c r="J102" s="24"/>
      <c r="K102" s="31"/>
    </row>
    <row r="103" spans="1:11" ht="9.75" customHeight="1" x14ac:dyDescent="0.2">
      <c r="A103" s="43">
        <f>MAPA!D86</f>
        <v>0</v>
      </c>
      <c r="B103" s="44" t="s">
        <v>134</v>
      </c>
      <c r="C103" s="45" t="s">
        <v>135</v>
      </c>
      <c r="D103" s="44">
        <f>MAPA!C86</f>
        <v>0</v>
      </c>
      <c r="E103" s="31">
        <f>MAPA!G86</f>
        <v>0</v>
      </c>
      <c r="G103" s="43"/>
      <c r="H103" s="44" t="s">
        <v>134</v>
      </c>
      <c r="I103" s="45" t="s">
        <v>135</v>
      </c>
      <c r="J103" s="44"/>
      <c r="K103" s="31"/>
    </row>
    <row r="104" spans="1:11" ht="9.75" customHeight="1" x14ac:dyDescent="0.2">
      <c r="A104" s="46">
        <f>MAPA!E86</f>
        <v>0</v>
      </c>
      <c r="B104" s="44">
        <f>MAPA!F86</f>
        <v>0</v>
      </c>
      <c r="C104" s="24"/>
      <c r="D104" s="24"/>
      <c r="E104" s="31"/>
      <c r="G104" s="46"/>
      <c r="H104" s="44"/>
      <c r="I104" s="24"/>
      <c r="J104" s="24"/>
      <c r="K104" s="31"/>
    </row>
    <row r="105" spans="1:11" ht="9.75" customHeight="1" thickBot="1" x14ac:dyDescent="0.25">
      <c r="A105" s="58" t="s">
        <v>137</v>
      </c>
      <c r="B105" s="59" t="s">
        <v>149</v>
      </c>
      <c r="C105" s="59"/>
      <c r="D105" s="59"/>
      <c r="E105" s="60"/>
      <c r="G105" s="58" t="s">
        <v>137</v>
      </c>
      <c r="H105" s="59" t="s">
        <v>149</v>
      </c>
      <c r="I105" s="59"/>
      <c r="J105" s="59"/>
      <c r="K105" s="60"/>
    </row>
    <row r="106" spans="1:11" ht="9.75" customHeight="1" x14ac:dyDescent="0.2">
      <c r="A106" s="232" t="s">
        <v>136</v>
      </c>
      <c r="B106" s="233"/>
      <c r="C106" s="228" t="str">
        <f>MAPA!A4</f>
        <v xml:space="preserve">DATA : 10/10/2019   </v>
      </c>
      <c r="D106" s="228"/>
      <c r="E106" s="39"/>
      <c r="G106" s="232" t="s">
        <v>136</v>
      </c>
      <c r="H106" s="233"/>
      <c r="I106" s="228" t="str">
        <f>MAPA!A4</f>
        <v xml:space="preserve">DATA : 10/10/2019   </v>
      </c>
      <c r="J106" s="228"/>
      <c r="K106" s="39"/>
    </row>
    <row r="107" spans="1:11" ht="9.75" customHeight="1" x14ac:dyDescent="0.2">
      <c r="A107" s="229" t="s">
        <v>150</v>
      </c>
      <c r="B107" s="230"/>
      <c r="C107" s="230"/>
      <c r="D107" s="230"/>
      <c r="E107" s="231"/>
      <c r="G107" s="229" t="s">
        <v>150</v>
      </c>
      <c r="H107" s="230"/>
      <c r="I107" s="230"/>
      <c r="J107" s="230"/>
      <c r="K107" s="231"/>
    </row>
    <row r="108" spans="1:11" s="34" customFormat="1" ht="9" customHeight="1" x14ac:dyDescent="0.25">
      <c r="A108" s="47" t="s">
        <v>191</v>
      </c>
      <c r="B108" s="48"/>
      <c r="C108" s="48"/>
      <c r="D108" s="48"/>
      <c r="E108" s="61" t="s">
        <v>139</v>
      </c>
      <c r="F108" s="49"/>
      <c r="G108" s="47" t="s">
        <v>191</v>
      </c>
      <c r="H108" s="48"/>
      <c r="I108" s="48"/>
      <c r="J108" s="48"/>
      <c r="K108" s="61" t="s">
        <v>139</v>
      </c>
    </row>
    <row r="109" spans="1:11" s="34" customFormat="1" ht="8.1" customHeight="1" x14ac:dyDescent="0.25">
      <c r="A109" s="50" t="s">
        <v>138</v>
      </c>
      <c r="B109" s="51"/>
      <c r="C109" s="51"/>
      <c r="D109" s="51"/>
      <c r="E109" s="52"/>
      <c r="F109" s="49"/>
      <c r="G109" s="50" t="s">
        <v>138</v>
      </c>
      <c r="H109" s="51"/>
      <c r="I109" s="51"/>
      <c r="J109" s="51"/>
      <c r="K109" s="52"/>
    </row>
    <row r="110" spans="1:11" s="24" customFormat="1" ht="9.75" customHeight="1" x14ac:dyDescent="0.2"/>
    <row r="111" spans="1:11" ht="9.75" customHeight="1" thickBot="1" x14ac:dyDescent="0.25"/>
    <row r="112" spans="1:11" ht="9.75" customHeight="1" x14ac:dyDescent="0.2">
      <c r="A112" s="53" t="s">
        <v>132</v>
      </c>
      <c r="B112" s="54">
        <f>MAPA!A88</f>
        <v>4220</v>
      </c>
      <c r="C112" s="55"/>
      <c r="D112" s="56"/>
      <c r="E112" s="57"/>
      <c r="G112" s="53" t="s">
        <v>132</v>
      </c>
      <c r="H112" s="54">
        <f>MAPA!A89</f>
        <v>4221</v>
      </c>
      <c r="I112" s="55"/>
      <c r="J112" s="56"/>
      <c r="K112" s="57"/>
    </row>
    <row r="113" spans="1:11" ht="9.75" customHeight="1" x14ac:dyDescent="0.2">
      <c r="A113" s="40" t="s">
        <v>133</v>
      </c>
      <c r="B113" s="41">
        <f>MAPA!B88</f>
        <v>0</v>
      </c>
      <c r="C113" s="24"/>
      <c r="D113" s="24"/>
      <c r="E113" s="31"/>
      <c r="G113" s="40" t="s">
        <v>133</v>
      </c>
      <c r="H113" s="41" t="str">
        <f>MAPA!B89</f>
        <v>RN GABRIELA DIAS BERTODO (Gabriel)</v>
      </c>
      <c r="I113" s="24"/>
      <c r="J113" s="24"/>
      <c r="K113" s="31"/>
    </row>
    <row r="114" spans="1:11" ht="9.75" customHeight="1" x14ac:dyDescent="0.2">
      <c r="A114" s="43">
        <f>MAPA!D88</f>
        <v>0</v>
      </c>
      <c r="B114" s="44" t="s">
        <v>134</v>
      </c>
      <c r="C114" s="45" t="s">
        <v>135</v>
      </c>
      <c r="D114" s="44">
        <f>MAPA!C88</f>
        <v>0</v>
      </c>
      <c r="E114" s="31">
        <f>MAPA!G88</f>
        <v>0</v>
      </c>
      <c r="G114" s="43">
        <f>MAPA!D89</f>
        <v>40</v>
      </c>
      <c r="H114" s="44" t="s">
        <v>134</v>
      </c>
      <c r="I114" s="45" t="s">
        <v>135</v>
      </c>
      <c r="J114" s="44" t="str">
        <f>MAPA!C89</f>
        <v>SNG/VO</v>
      </c>
      <c r="K114" s="31" t="str">
        <f>MAPA!G89</f>
        <v>3/3H</v>
      </c>
    </row>
    <row r="115" spans="1:11" ht="9.75" customHeight="1" x14ac:dyDescent="0.2">
      <c r="A115" s="46">
        <f>MAPA!E88</f>
        <v>0</v>
      </c>
      <c r="B115" s="44">
        <f>MAPA!F88</f>
        <v>0</v>
      </c>
      <c r="C115" s="24"/>
      <c r="D115" s="24"/>
      <c r="E115" s="31"/>
      <c r="G115" s="46" t="str">
        <f>MAPA!E89</f>
        <v>LM</v>
      </c>
      <c r="H115" s="44" t="str">
        <f>MAPA!F89</f>
        <v>FL TRANSIÇÃO</v>
      </c>
      <c r="I115" s="24"/>
      <c r="J115" s="24"/>
      <c r="K115" s="31"/>
    </row>
    <row r="116" spans="1:11" ht="9.75" customHeight="1" thickBot="1" x14ac:dyDescent="0.25">
      <c r="A116" s="58" t="s">
        <v>137</v>
      </c>
      <c r="B116" s="59" t="s">
        <v>149</v>
      </c>
      <c r="C116" s="59"/>
      <c r="D116" s="59"/>
      <c r="E116" s="60"/>
      <c r="G116" s="58" t="s">
        <v>137</v>
      </c>
      <c r="H116" s="59" t="s">
        <v>149</v>
      </c>
      <c r="I116" s="59"/>
      <c r="J116" s="59"/>
      <c r="K116" s="60"/>
    </row>
    <row r="117" spans="1:11" ht="9.75" customHeight="1" x14ac:dyDescent="0.2">
      <c r="A117" s="232" t="s">
        <v>136</v>
      </c>
      <c r="B117" s="233"/>
      <c r="C117" s="228" t="str">
        <f>MAPA!A4</f>
        <v xml:space="preserve">DATA : 10/10/2019   </v>
      </c>
      <c r="D117" s="228"/>
      <c r="E117" s="39"/>
      <c r="G117" s="232" t="s">
        <v>136</v>
      </c>
      <c r="H117" s="233"/>
      <c r="I117" s="228" t="str">
        <f>MAPA!A4</f>
        <v xml:space="preserve">DATA : 10/10/2019   </v>
      </c>
      <c r="J117" s="228"/>
      <c r="K117" s="39"/>
    </row>
    <row r="118" spans="1:11" ht="9.75" customHeight="1" x14ac:dyDescent="0.2">
      <c r="A118" s="229" t="s">
        <v>150</v>
      </c>
      <c r="B118" s="230"/>
      <c r="C118" s="230"/>
      <c r="D118" s="230"/>
      <c r="E118" s="231"/>
      <c r="G118" s="229" t="s">
        <v>150</v>
      </c>
      <c r="H118" s="230"/>
      <c r="I118" s="230"/>
      <c r="J118" s="230"/>
      <c r="K118" s="231"/>
    </row>
    <row r="119" spans="1:11" s="34" customFormat="1" ht="9" customHeight="1" x14ac:dyDescent="0.25">
      <c r="A119" s="47" t="s">
        <v>191</v>
      </c>
      <c r="B119" s="48"/>
      <c r="C119" s="48"/>
      <c r="D119" s="48"/>
      <c r="E119" s="61" t="s">
        <v>139</v>
      </c>
      <c r="F119" s="49"/>
      <c r="G119" s="47" t="s">
        <v>191</v>
      </c>
      <c r="H119" s="48"/>
      <c r="I119" s="48"/>
      <c r="J119" s="48"/>
      <c r="K119" s="61" t="s">
        <v>139</v>
      </c>
    </row>
    <row r="120" spans="1:11" s="34" customFormat="1" ht="8.1" customHeight="1" x14ac:dyDescent="0.25">
      <c r="A120" s="50" t="s">
        <v>138</v>
      </c>
      <c r="B120" s="51"/>
      <c r="C120" s="51"/>
      <c r="D120" s="51"/>
      <c r="E120" s="52"/>
      <c r="F120" s="49"/>
      <c r="G120" s="50" t="s">
        <v>138</v>
      </c>
      <c r="H120" s="51"/>
      <c r="I120" s="51"/>
      <c r="J120" s="51"/>
      <c r="K120" s="52"/>
    </row>
    <row r="121" spans="1:11" s="24" customFormat="1" ht="9.75" customHeight="1" x14ac:dyDescent="0.2"/>
    <row r="122" spans="1:11" ht="9.75" customHeight="1" thickBot="1" x14ac:dyDescent="0.25">
      <c r="A122" s="24"/>
      <c r="B122" s="24"/>
      <c r="C122" s="24"/>
      <c r="D122" s="24"/>
      <c r="E122" s="24"/>
      <c r="G122" s="24"/>
      <c r="H122" s="24"/>
      <c r="I122" s="24"/>
      <c r="J122" s="24"/>
      <c r="K122" s="24"/>
    </row>
    <row r="123" spans="1:11" ht="9.75" customHeight="1" x14ac:dyDescent="0.2">
      <c r="A123" s="53" t="s">
        <v>132</v>
      </c>
      <c r="B123" s="54">
        <f>MAPA!A90</f>
        <v>4222</v>
      </c>
      <c r="C123" s="55"/>
      <c r="D123" s="56"/>
      <c r="E123" s="57"/>
      <c r="G123" s="53" t="s">
        <v>132</v>
      </c>
      <c r="H123" s="54">
        <f>MAPA!A91</f>
        <v>4223</v>
      </c>
      <c r="I123" s="55"/>
      <c r="J123" s="56"/>
      <c r="K123" s="57"/>
    </row>
    <row r="124" spans="1:11" ht="9.75" customHeight="1" x14ac:dyDescent="0.2">
      <c r="A124" s="40" t="s">
        <v>133</v>
      </c>
      <c r="B124" s="41" t="str">
        <f>MAPA!B90</f>
        <v>RN DE CLAUDIA OLIVEIRA</v>
      </c>
      <c r="C124" s="24"/>
      <c r="D124" s="24"/>
      <c r="E124" s="31"/>
      <c r="G124" s="40" t="s">
        <v>133</v>
      </c>
      <c r="H124" s="41">
        <f>MAPA!B91</f>
        <v>0</v>
      </c>
      <c r="I124" s="24"/>
      <c r="J124" s="24"/>
      <c r="K124" s="31"/>
    </row>
    <row r="125" spans="1:11" ht="9.75" customHeight="1" x14ac:dyDescent="0.2">
      <c r="A125" s="43">
        <f>MAPA!D90</f>
        <v>43</v>
      </c>
      <c r="B125" s="44" t="s">
        <v>134</v>
      </c>
      <c r="C125" s="45" t="s">
        <v>135</v>
      </c>
      <c r="D125" s="44" t="str">
        <f>MAPA!C90</f>
        <v>VO</v>
      </c>
      <c r="E125" s="31" t="str">
        <f>MAPA!G90</f>
        <v>3/3H</v>
      </c>
      <c r="G125" s="43">
        <f>MAPA!D91</f>
        <v>0</v>
      </c>
      <c r="H125" s="44" t="s">
        <v>134</v>
      </c>
      <c r="I125" s="45" t="s">
        <v>135</v>
      </c>
      <c r="J125" s="44">
        <f>MAPA!C91</f>
        <v>0</v>
      </c>
      <c r="K125" s="31">
        <f>MAPA!G91</f>
        <v>0</v>
      </c>
    </row>
    <row r="126" spans="1:11" ht="9.75" customHeight="1" x14ac:dyDescent="0.2">
      <c r="A126" s="46">
        <f>MAPA!E90</f>
        <v>0</v>
      </c>
      <c r="B126" s="44" t="str">
        <f>MAPA!F90</f>
        <v>FL 1º SEMESTRE</v>
      </c>
      <c r="C126" s="24"/>
      <c r="D126" s="24"/>
      <c r="E126" s="31"/>
      <c r="G126" s="46">
        <f>MAPA!E919</f>
        <v>0</v>
      </c>
      <c r="H126" s="44">
        <f>MAPA!F91</f>
        <v>0</v>
      </c>
      <c r="I126" s="24"/>
      <c r="J126" s="24"/>
      <c r="K126" s="31"/>
    </row>
    <row r="127" spans="1:11" ht="9.75" customHeight="1" thickBot="1" x14ac:dyDescent="0.25">
      <c r="A127" s="58" t="s">
        <v>137</v>
      </c>
      <c r="B127" s="59" t="s">
        <v>149</v>
      </c>
      <c r="C127" s="59"/>
      <c r="D127" s="59"/>
      <c r="E127" s="60"/>
      <c r="G127" s="58" t="s">
        <v>137</v>
      </c>
      <c r="H127" s="59" t="s">
        <v>149</v>
      </c>
      <c r="I127" s="59"/>
      <c r="J127" s="59"/>
      <c r="K127" s="60"/>
    </row>
    <row r="128" spans="1:11" ht="9.75" customHeight="1" x14ac:dyDescent="0.2">
      <c r="A128" s="232" t="s">
        <v>136</v>
      </c>
      <c r="B128" s="233"/>
      <c r="C128" s="228" t="str">
        <f>MAPA!A4</f>
        <v xml:space="preserve">DATA : 10/10/2019   </v>
      </c>
      <c r="D128" s="228"/>
      <c r="E128" s="39"/>
      <c r="G128" s="232" t="s">
        <v>136</v>
      </c>
      <c r="H128" s="233"/>
      <c r="I128" s="228" t="str">
        <f>MAPA!A4</f>
        <v xml:space="preserve">DATA : 10/10/2019   </v>
      </c>
      <c r="J128" s="228"/>
      <c r="K128" s="39"/>
    </row>
    <row r="129" spans="1:11" ht="9.75" customHeight="1" x14ac:dyDescent="0.2">
      <c r="A129" s="229" t="s">
        <v>150</v>
      </c>
      <c r="B129" s="230"/>
      <c r="C129" s="230"/>
      <c r="D129" s="230"/>
      <c r="E129" s="231"/>
      <c r="G129" s="229" t="s">
        <v>150</v>
      </c>
      <c r="H129" s="230"/>
      <c r="I129" s="230"/>
      <c r="J129" s="230"/>
      <c r="K129" s="231"/>
    </row>
    <row r="130" spans="1:11" s="34" customFormat="1" ht="9" customHeight="1" x14ac:dyDescent="0.25">
      <c r="A130" s="47" t="s">
        <v>191</v>
      </c>
      <c r="B130" s="48"/>
      <c r="C130" s="48"/>
      <c r="D130" s="48"/>
      <c r="E130" s="61" t="s">
        <v>139</v>
      </c>
      <c r="F130" s="49"/>
      <c r="G130" s="47" t="s">
        <v>191</v>
      </c>
      <c r="H130" s="48"/>
      <c r="I130" s="48"/>
      <c r="J130" s="48"/>
      <c r="K130" s="61" t="s">
        <v>139</v>
      </c>
    </row>
    <row r="131" spans="1:11" s="34" customFormat="1" ht="8.1" customHeight="1" x14ac:dyDescent="0.25">
      <c r="A131" s="50" t="s">
        <v>138</v>
      </c>
      <c r="B131" s="51"/>
      <c r="C131" s="51"/>
      <c r="D131" s="51"/>
      <c r="E131" s="52"/>
      <c r="F131" s="49"/>
      <c r="G131" s="50" t="s">
        <v>138</v>
      </c>
      <c r="H131" s="51"/>
      <c r="I131" s="51"/>
      <c r="J131" s="51"/>
      <c r="K131" s="52"/>
    </row>
    <row r="132" spans="1:11" s="24" customFormat="1" ht="9.75" customHeight="1" x14ac:dyDescent="0.2"/>
    <row r="133" spans="1:11" ht="9.75" customHeight="1" thickBot="1" x14ac:dyDescent="0.25">
      <c r="A133" s="24"/>
      <c r="B133" s="24"/>
      <c r="C133" s="24"/>
      <c r="D133" s="24"/>
      <c r="E133" s="24"/>
      <c r="G133" s="24"/>
      <c r="H133" s="24"/>
      <c r="I133" s="24"/>
      <c r="J133" s="24"/>
      <c r="K133" s="24"/>
    </row>
    <row r="134" spans="1:11" ht="9.75" customHeight="1" x14ac:dyDescent="0.2">
      <c r="A134" s="53" t="s">
        <v>132</v>
      </c>
      <c r="B134" s="54">
        <f>MAPA!A92</f>
        <v>4224</v>
      </c>
      <c r="C134" s="55"/>
      <c r="D134" s="56"/>
      <c r="E134" s="57"/>
      <c r="G134" s="53" t="s">
        <v>132</v>
      </c>
      <c r="H134" s="54">
        <f>MAPA!A93</f>
        <v>4225</v>
      </c>
      <c r="I134" s="55"/>
      <c r="J134" s="56"/>
      <c r="K134" s="57"/>
    </row>
    <row r="135" spans="1:11" ht="9.75" customHeight="1" x14ac:dyDescent="0.2">
      <c r="A135" s="40" t="s">
        <v>133</v>
      </c>
      <c r="B135" s="41">
        <f>MAPA!B92</f>
        <v>0</v>
      </c>
      <c r="C135" s="24"/>
      <c r="D135" s="24"/>
      <c r="E135" s="31"/>
      <c r="G135" s="40" t="s">
        <v>133</v>
      </c>
      <c r="H135" s="41" t="str">
        <f>MAPA!B93</f>
        <v>RN DE ANA PAULA ARAUJO</v>
      </c>
      <c r="I135" s="24"/>
      <c r="J135" s="24"/>
      <c r="K135" s="31"/>
    </row>
    <row r="136" spans="1:11" ht="9.75" customHeight="1" x14ac:dyDescent="0.2">
      <c r="A136" s="43">
        <f>MAPA!D92</f>
        <v>0</v>
      </c>
      <c r="B136" s="44" t="s">
        <v>134</v>
      </c>
      <c r="C136" s="45" t="s">
        <v>135</v>
      </c>
      <c r="D136" s="44">
        <f>MAPA!C92</f>
        <v>0</v>
      </c>
      <c r="E136" s="31">
        <f>MAPA!G92</f>
        <v>0</v>
      </c>
      <c r="G136" s="43">
        <f>MAPA!D93</f>
        <v>80</v>
      </c>
      <c r="H136" s="44" t="s">
        <v>134</v>
      </c>
      <c r="I136" s="45" t="s">
        <v>135</v>
      </c>
      <c r="J136" s="44" t="str">
        <f>MAPA!C93</f>
        <v>VO</v>
      </c>
      <c r="K136" s="31" t="str">
        <f>MAPA!G93</f>
        <v>3/3H</v>
      </c>
    </row>
    <row r="137" spans="1:11" ht="9.75" customHeight="1" x14ac:dyDescent="0.2">
      <c r="A137" s="46">
        <f>MAPA!E92</f>
        <v>0</v>
      </c>
      <c r="B137" s="44">
        <f>MAPA!F92</f>
        <v>0</v>
      </c>
      <c r="C137" s="24"/>
      <c r="D137" s="24"/>
      <c r="E137" s="31"/>
      <c r="G137" s="46" t="str">
        <f>MAPA!E93</f>
        <v>LM</v>
      </c>
      <c r="H137" s="44" t="str">
        <f>MAPA!F93</f>
        <v>FL 1º SEMESTRE</v>
      </c>
      <c r="I137" s="24"/>
      <c r="J137" s="24"/>
      <c r="K137" s="31"/>
    </row>
    <row r="138" spans="1:11" ht="9.75" customHeight="1" thickBot="1" x14ac:dyDescent="0.25">
      <c r="A138" s="58" t="s">
        <v>137</v>
      </c>
      <c r="B138" s="59" t="s">
        <v>149</v>
      </c>
      <c r="C138" s="59"/>
      <c r="D138" s="59"/>
      <c r="E138" s="60"/>
      <c r="G138" s="58" t="s">
        <v>137</v>
      </c>
      <c r="H138" s="59" t="s">
        <v>149</v>
      </c>
      <c r="I138" s="59"/>
      <c r="J138" s="59"/>
      <c r="K138" s="60"/>
    </row>
    <row r="139" spans="1:11" ht="9.75" customHeight="1" x14ac:dyDescent="0.2">
      <c r="A139" s="232" t="s">
        <v>136</v>
      </c>
      <c r="B139" s="233"/>
      <c r="C139" s="228" t="str">
        <f>MAPA!A4</f>
        <v xml:space="preserve">DATA : 10/10/2019   </v>
      </c>
      <c r="D139" s="228"/>
      <c r="E139" s="39"/>
      <c r="G139" s="232" t="s">
        <v>136</v>
      </c>
      <c r="H139" s="233"/>
      <c r="I139" s="228" t="str">
        <f>MAPA!A4</f>
        <v xml:space="preserve">DATA : 10/10/2019   </v>
      </c>
      <c r="J139" s="228"/>
      <c r="K139" s="39"/>
    </row>
    <row r="140" spans="1:11" ht="9.75" customHeight="1" x14ac:dyDescent="0.2">
      <c r="A140" s="229" t="s">
        <v>150</v>
      </c>
      <c r="B140" s="230"/>
      <c r="C140" s="230"/>
      <c r="D140" s="230"/>
      <c r="E140" s="231"/>
      <c r="G140" s="229" t="s">
        <v>150</v>
      </c>
      <c r="H140" s="230"/>
      <c r="I140" s="230"/>
      <c r="J140" s="230"/>
      <c r="K140" s="231"/>
    </row>
    <row r="141" spans="1:11" s="34" customFormat="1" ht="9" customHeight="1" x14ac:dyDescent="0.25">
      <c r="A141" s="47" t="s">
        <v>191</v>
      </c>
      <c r="B141" s="48"/>
      <c r="C141" s="48"/>
      <c r="D141" s="48"/>
      <c r="E141" s="61" t="s">
        <v>139</v>
      </c>
      <c r="F141" s="49"/>
      <c r="G141" s="47" t="s">
        <v>191</v>
      </c>
      <c r="H141" s="48"/>
      <c r="I141" s="48"/>
      <c r="J141" s="48"/>
      <c r="K141" s="61" t="s">
        <v>139</v>
      </c>
    </row>
    <row r="142" spans="1:11" s="34" customFormat="1" ht="8.1" customHeight="1" x14ac:dyDescent="0.25">
      <c r="A142" s="50" t="s">
        <v>138</v>
      </c>
      <c r="B142" s="51"/>
      <c r="C142" s="51"/>
      <c r="D142" s="51"/>
      <c r="E142" s="52"/>
      <c r="F142" s="49"/>
      <c r="G142" s="50" t="s">
        <v>138</v>
      </c>
      <c r="H142" s="51"/>
      <c r="I142" s="51"/>
      <c r="J142" s="51"/>
      <c r="K142" s="52"/>
    </row>
    <row r="143" spans="1:11" s="24" customFormat="1" ht="9.75" customHeight="1" x14ac:dyDescent="0.2"/>
    <row r="144" spans="1:11" ht="9.75" customHeight="1" thickBot="1" x14ac:dyDescent="0.25">
      <c r="A144" s="24"/>
      <c r="B144" s="24"/>
      <c r="C144" s="24"/>
      <c r="D144" s="24"/>
      <c r="E144" s="24"/>
      <c r="G144" s="24"/>
      <c r="H144" s="24"/>
      <c r="I144" s="24"/>
      <c r="J144" s="24"/>
      <c r="K144" s="24"/>
    </row>
    <row r="145" spans="1:11" ht="9.75" customHeight="1" x14ac:dyDescent="0.2">
      <c r="A145" s="53" t="s">
        <v>132</v>
      </c>
      <c r="B145" s="54">
        <f>MAPA!A94</f>
        <v>4226</v>
      </c>
      <c r="C145" s="55"/>
      <c r="D145" s="56"/>
      <c r="E145" s="57"/>
      <c r="G145" s="53" t="s">
        <v>132</v>
      </c>
      <c r="H145" s="54">
        <f>MAPA!A95</f>
        <v>4227</v>
      </c>
      <c r="I145" s="55"/>
      <c r="J145" s="56"/>
      <c r="K145" s="57"/>
    </row>
    <row r="146" spans="1:11" ht="9.75" customHeight="1" x14ac:dyDescent="0.2">
      <c r="A146" s="40" t="s">
        <v>133</v>
      </c>
      <c r="B146" s="41" t="str">
        <f>MAPA!B94</f>
        <v>G1 KELLY SANTOS</v>
      </c>
      <c r="C146" s="24"/>
      <c r="D146" s="24"/>
      <c r="E146" s="31"/>
      <c r="G146" s="40" t="s">
        <v>133</v>
      </c>
      <c r="H146" s="41">
        <f>MAPA!B95</f>
        <v>0</v>
      </c>
      <c r="I146" s="24"/>
      <c r="J146" s="24"/>
      <c r="K146" s="31"/>
    </row>
    <row r="147" spans="1:11" ht="9.75" customHeight="1" x14ac:dyDescent="0.2">
      <c r="A147" s="43">
        <f>MAPA!D94</f>
        <v>20</v>
      </c>
      <c r="B147" s="44" t="s">
        <v>134</v>
      </c>
      <c r="C147" s="45" t="s">
        <v>135</v>
      </c>
      <c r="D147" s="44" t="str">
        <f>MAPA!C94</f>
        <v>VO</v>
      </c>
      <c r="E147" s="31" t="str">
        <f>MAPA!G94</f>
        <v>3/3H</v>
      </c>
      <c r="G147" s="43">
        <f>MAPA!D95</f>
        <v>0</v>
      </c>
      <c r="H147" s="44" t="s">
        <v>134</v>
      </c>
      <c r="I147" s="45" t="s">
        <v>135</v>
      </c>
      <c r="J147" s="44">
        <f>MAPA!C95</f>
        <v>0</v>
      </c>
      <c r="K147" s="31">
        <f>MAPA!G95</f>
        <v>0</v>
      </c>
    </row>
    <row r="148" spans="1:11" ht="9.75" customHeight="1" x14ac:dyDescent="0.2">
      <c r="A148" s="46" t="str">
        <f>MAPA!E94</f>
        <v>LM</v>
      </c>
      <c r="B148" s="44" t="str">
        <f>MAPA!F94</f>
        <v>FL 1° SEMESTRE</v>
      </c>
      <c r="C148" s="24"/>
      <c r="D148" s="24"/>
      <c r="E148" s="31"/>
      <c r="G148" s="46">
        <f>MAPA!E95</f>
        <v>0</v>
      </c>
      <c r="H148" s="44">
        <f>MAPA!F95</f>
        <v>0</v>
      </c>
      <c r="I148" s="24"/>
      <c r="J148" s="24"/>
      <c r="K148" s="31"/>
    </row>
    <row r="149" spans="1:11" ht="9.75" customHeight="1" thickBot="1" x14ac:dyDescent="0.25">
      <c r="A149" s="58" t="s">
        <v>137</v>
      </c>
      <c r="B149" s="59" t="s">
        <v>149</v>
      </c>
      <c r="C149" s="59"/>
      <c r="D149" s="59"/>
      <c r="E149" s="60"/>
      <c r="G149" s="58" t="s">
        <v>137</v>
      </c>
      <c r="H149" s="59" t="s">
        <v>149</v>
      </c>
      <c r="I149" s="59"/>
      <c r="J149" s="59"/>
      <c r="K149" s="60"/>
    </row>
    <row r="150" spans="1:11" ht="9.75" customHeight="1" x14ac:dyDescent="0.2">
      <c r="A150" s="232" t="s">
        <v>136</v>
      </c>
      <c r="B150" s="233"/>
      <c r="C150" s="228" t="str">
        <f>MAPA!A4</f>
        <v xml:space="preserve">DATA : 10/10/2019   </v>
      </c>
      <c r="D150" s="228"/>
      <c r="E150" s="39"/>
      <c r="G150" s="232" t="s">
        <v>136</v>
      </c>
      <c r="H150" s="233"/>
      <c r="I150" s="228" t="str">
        <f>MAPA!A4</f>
        <v xml:space="preserve">DATA : 10/10/2019   </v>
      </c>
      <c r="J150" s="228"/>
      <c r="K150" s="39"/>
    </row>
    <row r="151" spans="1:11" ht="9.75" customHeight="1" x14ac:dyDescent="0.2">
      <c r="A151" s="229" t="s">
        <v>150</v>
      </c>
      <c r="B151" s="230"/>
      <c r="C151" s="230"/>
      <c r="D151" s="230"/>
      <c r="E151" s="231"/>
      <c r="G151" s="229" t="s">
        <v>150</v>
      </c>
      <c r="H151" s="230"/>
      <c r="I151" s="230"/>
      <c r="J151" s="230"/>
      <c r="K151" s="231"/>
    </row>
    <row r="152" spans="1:11" s="34" customFormat="1" ht="9" customHeight="1" x14ac:dyDescent="0.25">
      <c r="A152" s="47" t="s">
        <v>191</v>
      </c>
      <c r="B152" s="48"/>
      <c r="C152" s="48"/>
      <c r="D152" s="48"/>
      <c r="E152" s="61" t="s">
        <v>139</v>
      </c>
      <c r="F152" s="49"/>
      <c r="G152" s="47" t="s">
        <v>191</v>
      </c>
      <c r="H152" s="48"/>
      <c r="I152" s="48"/>
      <c r="J152" s="48"/>
      <c r="K152" s="61" t="s">
        <v>139</v>
      </c>
    </row>
    <row r="153" spans="1:11" s="34" customFormat="1" ht="8.1" customHeight="1" x14ac:dyDescent="0.25">
      <c r="A153" s="50" t="s">
        <v>138</v>
      </c>
      <c r="B153" s="51"/>
      <c r="C153" s="51"/>
      <c r="D153" s="51"/>
      <c r="E153" s="52"/>
      <c r="F153" s="49"/>
      <c r="G153" s="50" t="s">
        <v>138</v>
      </c>
      <c r="H153" s="51"/>
      <c r="I153" s="51"/>
      <c r="J153" s="51"/>
      <c r="K153" s="52"/>
    </row>
    <row r="154" spans="1:11" s="24" customFormat="1" ht="9.75" customHeight="1" x14ac:dyDescent="0.2"/>
    <row r="155" spans="1:11" ht="9.75" customHeight="1" thickBot="1" x14ac:dyDescent="0.25">
      <c r="A155" s="24"/>
      <c r="B155" s="24"/>
      <c r="C155" s="24"/>
      <c r="D155" s="24"/>
      <c r="E155" s="24"/>
      <c r="G155" s="24"/>
      <c r="H155" s="24"/>
      <c r="I155" s="24"/>
      <c r="J155" s="24"/>
      <c r="K155" s="24"/>
    </row>
    <row r="156" spans="1:11" ht="9.75" customHeight="1" x14ac:dyDescent="0.2">
      <c r="A156" s="53" t="s">
        <v>132</v>
      </c>
      <c r="B156" s="54">
        <f>MAPA!A96</f>
        <v>4228</v>
      </c>
      <c r="C156" s="55"/>
      <c r="D156" s="56"/>
      <c r="E156" s="57"/>
      <c r="G156" s="53" t="s">
        <v>132</v>
      </c>
      <c r="H156" s="54">
        <f>MAPA!A97</f>
        <v>4229</v>
      </c>
      <c r="I156" s="55"/>
      <c r="J156" s="56"/>
      <c r="K156" s="57"/>
    </row>
    <row r="157" spans="1:11" ht="9.75" customHeight="1" x14ac:dyDescent="0.2">
      <c r="A157" s="40" t="s">
        <v>133</v>
      </c>
      <c r="B157" s="41" t="str">
        <f>MAPA!B96</f>
        <v>RN VIRGINIA AGNES DA SILVA (Fernando)</v>
      </c>
      <c r="C157" s="24"/>
      <c r="D157" s="24"/>
      <c r="E157" s="31"/>
      <c r="G157" s="40" t="s">
        <v>133</v>
      </c>
      <c r="H157" s="41" t="str">
        <f>MAPA!B97</f>
        <v>RN SUELEM CAMPOS</v>
      </c>
      <c r="I157" s="24"/>
      <c r="J157" s="24"/>
      <c r="K157" s="31"/>
    </row>
    <row r="158" spans="1:11" ht="9.75" customHeight="1" x14ac:dyDescent="0.2">
      <c r="A158" s="43">
        <f>MAPA!D96</f>
        <v>100</v>
      </c>
      <c r="B158" s="44" t="s">
        <v>134</v>
      </c>
      <c r="C158" s="45" t="s">
        <v>135</v>
      </c>
      <c r="D158" s="44" t="str">
        <f>MAPA!C96</f>
        <v>VO</v>
      </c>
      <c r="E158" s="31" t="str">
        <f>MAPA!G96</f>
        <v>3/3H</v>
      </c>
      <c r="G158" s="43">
        <f>MAPA!D97</f>
        <v>55</v>
      </c>
      <c r="H158" s="44" t="s">
        <v>134</v>
      </c>
      <c r="I158" s="45" t="s">
        <v>135</v>
      </c>
      <c r="J158" s="44" t="str">
        <f>MAPA!C97</f>
        <v>VO</v>
      </c>
      <c r="K158" s="31" t="str">
        <f>MAPA!G97</f>
        <v>3/3H</v>
      </c>
    </row>
    <row r="159" spans="1:11" ht="9.75" customHeight="1" x14ac:dyDescent="0.2">
      <c r="A159" s="46" t="str">
        <f>MAPA!E96</f>
        <v>LM</v>
      </c>
      <c r="B159" s="44" t="str">
        <f>MAPA!F96</f>
        <v>FL 1º SEMESTRE</v>
      </c>
      <c r="C159" s="24"/>
      <c r="D159" s="24"/>
      <c r="E159" s="31"/>
      <c r="G159" s="46" t="str">
        <f>MAPA!E97</f>
        <v>LM</v>
      </c>
      <c r="H159" s="44" t="str">
        <f>MAPA!F97</f>
        <v>FL 1º SEMESTRE</v>
      </c>
      <c r="I159" s="24"/>
      <c r="J159" s="24"/>
      <c r="K159" s="31"/>
    </row>
    <row r="160" spans="1:11" ht="9.75" customHeight="1" thickBot="1" x14ac:dyDescent="0.25">
      <c r="A160" s="58" t="s">
        <v>137</v>
      </c>
      <c r="B160" s="59" t="s">
        <v>149</v>
      </c>
      <c r="C160" s="59"/>
      <c r="D160" s="59"/>
      <c r="E160" s="60"/>
      <c r="G160" s="58" t="s">
        <v>137</v>
      </c>
      <c r="H160" s="59" t="s">
        <v>149</v>
      </c>
      <c r="I160" s="59"/>
      <c r="J160" s="59"/>
      <c r="K160" s="60"/>
    </row>
    <row r="161" spans="1:11" ht="9.75" customHeight="1" x14ac:dyDescent="0.2">
      <c r="A161" s="232" t="s">
        <v>136</v>
      </c>
      <c r="B161" s="233"/>
      <c r="C161" s="228" t="str">
        <f>MAPA!A4</f>
        <v xml:space="preserve">DATA : 10/10/2019   </v>
      </c>
      <c r="D161" s="228"/>
      <c r="E161" s="39"/>
      <c r="G161" s="232" t="s">
        <v>136</v>
      </c>
      <c r="H161" s="233"/>
      <c r="I161" s="228" t="str">
        <f>MAPA!A4</f>
        <v xml:space="preserve">DATA : 10/10/2019   </v>
      </c>
      <c r="J161" s="228"/>
      <c r="K161" s="39"/>
    </row>
    <row r="162" spans="1:11" ht="9.75" customHeight="1" x14ac:dyDescent="0.2">
      <c r="A162" s="229" t="s">
        <v>150</v>
      </c>
      <c r="B162" s="230"/>
      <c r="C162" s="230"/>
      <c r="D162" s="230"/>
      <c r="E162" s="231"/>
      <c r="G162" s="229" t="s">
        <v>150</v>
      </c>
      <c r="H162" s="230"/>
      <c r="I162" s="230"/>
      <c r="J162" s="230"/>
      <c r="K162" s="231"/>
    </row>
    <row r="163" spans="1:11" s="34" customFormat="1" ht="9" customHeight="1" x14ac:dyDescent="0.25">
      <c r="A163" s="47" t="s">
        <v>191</v>
      </c>
      <c r="B163" s="48"/>
      <c r="C163" s="48"/>
      <c r="D163" s="48"/>
      <c r="E163" s="61" t="s">
        <v>139</v>
      </c>
      <c r="F163" s="49"/>
      <c r="G163" s="47" t="s">
        <v>191</v>
      </c>
      <c r="H163" s="48"/>
      <c r="I163" s="48"/>
      <c r="J163" s="48"/>
      <c r="K163" s="61" t="s">
        <v>139</v>
      </c>
    </row>
    <row r="164" spans="1:11" s="34" customFormat="1" ht="8.1" customHeight="1" x14ac:dyDescent="0.25">
      <c r="A164" s="50" t="s">
        <v>138</v>
      </c>
      <c r="B164" s="51"/>
      <c r="C164" s="51"/>
      <c r="D164" s="51"/>
      <c r="E164" s="52"/>
      <c r="F164" s="49"/>
      <c r="G164" s="50" t="s">
        <v>138</v>
      </c>
      <c r="H164" s="51"/>
      <c r="I164" s="51"/>
      <c r="J164" s="51"/>
      <c r="K164" s="52"/>
    </row>
    <row r="165" spans="1:11" s="24" customFormat="1" ht="9.75" customHeight="1" x14ac:dyDescent="0.2"/>
    <row r="166" spans="1:11" s="64" customFormat="1" ht="9.75" customHeight="1" thickBot="1" x14ac:dyDescent="0.25"/>
    <row r="167" spans="1:11" ht="9.75" customHeight="1" x14ac:dyDescent="0.2">
      <c r="A167" s="53" t="s">
        <v>132</v>
      </c>
      <c r="B167" s="54">
        <f>MAPA!A98</f>
        <v>4230</v>
      </c>
      <c r="C167" s="55"/>
      <c r="D167" s="56"/>
      <c r="E167" s="57"/>
      <c r="G167" s="53" t="s">
        <v>132</v>
      </c>
      <c r="H167" s="54">
        <f>MAPA!A100</f>
        <v>4241</v>
      </c>
      <c r="I167" s="55"/>
      <c r="J167" s="56"/>
      <c r="K167" s="57"/>
    </row>
    <row r="168" spans="1:11" ht="9.75" customHeight="1" x14ac:dyDescent="0.2">
      <c r="A168" s="40" t="s">
        <v>133</v>
      </c>
      <c r="B168" s="41">
        <f>MAPA!B98</f>
        <v>0</v>
      </c>
      <c r="C168" s="24"/>
      <c r="D168" s="24"/>
      <c r="E168" s="31"/>
      <c r="G168" s="40" t="s">
        <v>133</v>
      </c>
      <c r="H168" s="41">
        <f>MAPA!B100</f>
        <v>0</v>
      </c>
      <c r="I168" s="24"/>
      <c r="J168" s="24"/>
      <c r="K168" s="31"/>
    </row>
    <row r="169" spans="1:11" ht="9.75" customHeight="1" x14ac:dyDescent="0.2">
      <c r="A169" s="43">
        <f>MAPA!D98</f>
        <v>0</v>
      </c>
      <c r="B169" s="44" t="s">
        <v>134</v>
      </c>
      <c r="C169" s="45" t="s">
        <v>135</v>
      </c>
      <c r="D169" s="44">
        <f>MAPA!C98</f>
        <v>0</v>
      </c>
      <c r="E169" s="31">
        <f>MAPA!G98</f>
        <v>0</v>
      </c>
      <c r="G169" s="43">
        <f>MAPA!D100</f>
        <v>0</v>
      </c>
      <c r="H169" s="44" t="s">
        <v>134</v>
      </c>
      <c r="I169" s="45" t="s">
        <v>135</v>
      </c>
      <c r="J169" s="44">
        <f>MAPA!C100</f>
        <v>0</v>
      </c>
      <c r="K169" s="31">
        <f>MAPA!G100</f>
        <v>0</v>
      </c>
    </row>
    <row r="170" spans="1:11" ht="9.75" customHeight="1" x14ac:dyDescent="0.2">
      <c r="A170" s="46">
        <f>MAPA!E98</f>
        <v>0</v>
      </c>
      <c r="B170" s="44">
        <f>MAPA!F98</f>
        <v>0</v>
      </c>
      <c r="C170" s="24"/>
      <c r="D170" s="24"/>
      <c r="E170" s="31"/>
      <c r="G170" s="46">
        <f>MAPA!E100</f>
        <v>0</v>
      </c>
      <c r="H170" s="44">
        <f>MAPA!F100</f>
        <v>0</v>
      </c>
      <c r="I170" s="24"/>
      <c r="J170" s="24"/>
      <c r="K170" s="31"/>
    </row>
    <row r="171" spans="1:11" ht="9.75" customHeight="1" thickBot="1" x14ac:dyDescent="0.25">
      <c r="A171" s="58" t="s">
        <v>137</v>
      </c>
      <c r="B171" s="59" t="s">
        <v>149</v>
      </c>
      <c r="C171" s="59"/>
      <c r="D171" s="59"/>
      <c r="E171" s="60"/>
      <c r="G171" s="58" t="s">
        <v>137</v>
      </c>
      <c r="H171" s="59" t="s">
        <v>149</v>
      </c>
      <c r="I171" s="59"/>
      <c r="J171" s="59"/>
      <c r="K171" s="60"/>
    </row>
    <row r="172" spans="1:11" ht="9.75" customHeight="1" x14ac:dyDescent="0.2">
      <c r="A172" s="232" t="s">
        <v>136</v>
      </c>
      <c r="B172" s="233"/>
      <c r="C172" s="228" t="str">
        <f>MAPA!A4</f>
        <v xml:space="preserve">DATA : 10/10/2019   </v>
      </c>
      <c r="D172" s="228"/>
      <c r="E172" s="39"/>
      <c r="G172" s="232" t="s">
        <v>136</v>
      </c>
      <c r="H172" s="233"/>
      <c r="I172" s="228" t="str">
        <f>MAPA!A4</f>
        <v xml:space="preserve">DATA : 10/10/2019   </v>
      </c>
      <c r="J172" s="228"/>
      <c r="K172" s="39"/>
    </row>
    <row r="173" spans="1:11" ht="9.75" customHeight="1" x14ac:dyDescent="0.2">
      <c r="A173" s="229" t="s">
        <v>150</v>
      </c>
      <c r="B173" s="230"/>
      <c r="C173" s="230"/>
      <c r="D173" s="230"/>
      <c r="E173" s="231"/>
      <c r="G173" s="229" t="s">
        <v>150</v>
      </c>
      <c r="H173" s="230"/>
      <c r="I173" s="230"/>
      <c r="J173" s="230"/>
      <c r="K173" s="231"/>
    </row>
    <row r="174" spans="1:11" s="34" customFormat="1" ht="9" customHeight="1" x14ac:dyDescent="0.25">
      <c r="A174" s="47" t="s">
        <v>191</v>
      </c>
      <c r="B174" s="48"/>
      <c r="C174" s="48"/>
      <c r="D174" s="48"/>
      <c r="E174" s="61" t="s">
        <v>139</v>
      </c>
      <c r="F174" s="49"/>
      <c r="G174" s="47" t="s">
        <v>191</v>
      </c>
      <c r="H174" s="48"/>
      <c r="I174" s="48"/>
      <c r="J174" s="48"/>
      <c r="K174" s="61" t="s">
        <v>139</v>
      </c>
    </row>
    <row r="175" spans="1:11" s="34" customFormat="1" ht="8.1" customHeight="1" x14ac:dyDescent="0.25">
      <c r="A175" s="50" t="s">
        <v>138</v>
      </c>
      <c r="B175" s="51"/>
      <c r="C175" s="51"/>
      <c r="D175" s="51"/>
      <c r="E175" s="52"/>
      <c r="F175" s="49"/>
      <c r="G175" s="50" t="s">
        <v>138</v>
      </c>
      <c r="H175" s="51"/>
      <c r="I175" s="51"/>
      <c r="J175" s="51"/>
      <c r="K175" s="52"/>
    </row>
    <row r="176" spans="1:11" s="24" customFormat="1" ht="9.75" customHeight="1" x14ac:dyDescent="0.2"/>
    <row r="177" spans="1:11" ht="9.75" customHeight="1" thickBot="1" x14ac:dyDescent="0.25">
      <c r="A177" s="24"/>
      <c r="B177" s="24"/>
      <c r="C177" s="24"/>
      <c r="D177" s="24"/>
      <c r="E177" s="24"/>
      <c r="G177" s="24"/>
      <c r="H177" s="24"/>
      <c r="I177" s="24"/>
      <c r="J177" s="24"/>
      <c r="K177" s="24"/>
    </row>
    <row r="178" spans="1:11" ht="9.75" customHeight="1" x14ac:dyDescent="0.2">
      <c r="A178" s="53" t="s">
        <v>132</v>
      </c>
      <c r="B178" s="54">
        <f>MAPA!A101</f>
        <v>4242</v>
      </c>
      <c r="C178" s="55"/>
      <c r="D178" s="56"/>
      <c r="E178" s="57"/>
      <c r="G178" s="53" t="s">
        <v>132</v>
      </c>
      <c r="H178" s="54">
        <f>MAPA!A102</f>
        <v>4243</v>
      </c>
      <c r="I178" s="55"/>
      <c r="J178" s="56"/>
      <c r="K178" s="57"/>
    </row>
    <row r="179" spans="1:11" ht="9.75" customHeight="1" x14ac:dyDescent="0.2">
      <c r="A179" s="40" t="s">
        <v>133</v>
      </c>
      <c r="B179" s="41">
        <f>MAPA!B101</f>
        <v>0</v>
      </c>
      <c r="C179" s="24"/>
      <c r="D179" s="24"/>
      <c r="E179" s="31"/>
      <c r="G179" s="40" t="s">
        <v>133</v>
      </c>
      <c r="H179" s="41">
        <f>MAPA!B102</f>
        <v>0</v>
      </c>
      <c r="I179" s="24"/>
      <c r="J179" s="24"/>
      <c r="K179" s="31"/>
    </row>
    <row r="180" spans="1:11" ht="9.75" customHeight="1" x14ac:dyDescent="0.2">
      <c r="A180" s="43">
        <f>MAPA!D101</f>
        <v>0</v>
      </c>
      <c r="B180" s="44" t="s">
        <v>134</v>
      </c>
      <c r="C180" s="45" t="s">
        <v>135</v>
      </c>
      <c r="D180" s="44">
        <f>MAPA!C101</f>
        <v>0</v>
      </c>
      <c r="E180" s="31">
        <f>MAPA!G101</f>
        <v>0</v>
      </c>
      <c r="G180" s="43">
        <f>MAPA!D102</f>
        <v>0</v>
      </c>
      <c r="H180" s="44" t="s">
        <v>134</v>
      </c>
      <c r="I180" s="45" t="s">
        <v>135</v>
      </c>
      <c r="J180" s="44">
        <f>MAPA!C102</f>
        <v>0</v>
      </c>
      <c r="K180" s="31">
        <f>MAPA!G102</f>
        <v>0</v>
      </c>
    </row>
    <row r="181" spans="1:11" ht="9.75" customHeight="1" x14ac:dyDescent="0.2">
      <c r="A181" s="46">
        <f>MAPA!E101</f>
        <v>0</v>
      </c>
      <c r="B181" s="44">
        <f>MAPA!F101</f>
        <v>0</v>
      </c>
      <c r="C181" s="24"/>
      <c r="D181" s="24"/>
      <c r="E181" s="31"/>
      <c r="G181" s="46">
        <f>MAPA!E102</f>
        <v>0</v>
      </c>
      <c r="H181" s="44">
        <f>MAPA!F102</f>
        <v>0</v>
      </c>
      <c r="I181" s="24"/>
      <c r="J181" s="24"/>
      <c r="K181" s="31"/>
    </row>
    <row r="182" spans="1:11" ht="9.75" customHeight="1" thickBot="1" x14ac:dyDescent="0.25">
      <c r="A182" s="58" t="s">
        <v>137</v>
      </c>
      <c r="B182" s="59" t="s">
        <v>149</v>
      </c>
      <c r="C182" s="59"/>
      <c r="D182" s="59"/>
      <c r="E182" s="60"/>
      <c r="G182" s="58" t="s">
        <v>137</v>
      </c>
      <c r="H182" s="59" t="s">
        <v>149</v>
      </c>
      <c r="I182" s="59"/>
      <c r="J182" s="59"/>
      <c r="K182" s="60"/>
    </row>
    <row r="183" spans="1:11" ht="9.75" customHeight="1" x14ac:dyDescent="0.2">
      <c r="A183" s="232" t="s">
        <v>136</v>
      </c>
      <c r="B183" s="233"/>
      <c r="C183" s="228" t="str">
        <f>MAPA!A4</f>
        <v xml:space="preserve">DATA : 10/10/2019   </v>
      </c>
      <c r="D183" s="228"/>
      <c r="E183" s="39"/>
      <c r="G183" s="232" t="s">
        <v>136</v>
      </c>
      <c r="H183" s="233"/>
      <c r="I183" s="228" t="str">
        <f>MAPA!A4</f>
        <v xml:space="preserve">DATA : 10/10/2019   </v>
      </c>
      <c r="J183" s="228"/>
      <c r="K183" s="39"/>
    </row>
    <row r="184" spans="1:11" ht="9.75" customHeight="1" x14ac:dyDescent="0.2">
      <c r="A184" s="229" t="s">
        <v>150</v>
      </c>
      <c r="B184" s="230"/>
      <c r="C184" s="230"/>
      <c r="D184" s="230"/>
      <c r="E184" s="231"/>
      <c r="G184" s="229" t="s">
        <v>150</v>
      </c>
      <c r="H184" s="230"/>
      <c r="I184" s="230"/>
      <c r="J184" s="230"/>
      <c r="K184" s="231"/>
    </row>
    <row r="185" spans="1:11" s="34" customFormat="1" ht="9" customHeight="1" x14ac:dyDescent="0.25">
      <c r="A185" s="47" t="s">
        <v>191</v>
      </c>
      <c r="B185" s="48"/>
      <c r="C185" s="48"/>
      <c r="D185" s="48"/>
      <c r="E185" s="61" t="s">
        <v>139</v>
      </c>
      <c r="F185" s="49"/>
      <c r="G185" s="47" t="s">
        <v>191</v>
      </c>
      <c r="H185" s="48"/>
      <c r="I185" s="48"/>
      <c r="J185" s="48"/>
      <c r="K185" s="61" t="s">
        <v>139</v>
      </c>
    </row>
    <row r="186" spans="1:11" s="34" customFormat="1" ht="8.1" customHeight="1" x14ac:dyDescent="0.25">
      <c r="A186" s="50" t="s">
        <v>138</v>
      </c>
      <c r="B186" s="51"/>
      <c r="C186" s="51"/>
      <c r="D186" s="51"/>
      <c r="E186" s="52"/>
      <c r="F186" s="49"/>
      <c r="G186" s="50" t="s">
        <v>138</v>
      </c>
      <c r="H186" s="51"/>
      <c r="I186" s="51"/>
      <c r="J186" s="51"/>
      <c r="K186" s="52"/>
    </row>
    <row r="187" spans="1:11" s="24" customFormat="1" ht="9.75" customHeight="1" x14ac:dyDescent="0.2"/>
    <row r="188" spans="1:11" ht="9.75" customHeight="1" thickBot="1" x14ac:dyDescent="0.25">
      <c r="A188" s="24"/>
      <c r="B188" s="24"/>
      <c r="C188" s="24"/>
      <c r="D188" s="24"/>
      <c r="E188" s="24"/>
      <c r="G188" s="24"/>
      <c r="H188" s="24"/>
      <c r="I188" s="24"/>
      <c r="J188" s="24"/>
      <c r="K188" s="24"/>
    </row>
    <row r="189" spans="1:11" ht="9.75" customHeight="1" x14ac:dyDescent="0.2">
      <c r="A189" s="53" t="s">
        <v>132</v>
      </c>
      <c r="B189" s="54">
        <f>MAPA!A103</f>
        <v>4244</v>
      </c>
      <c r="C189" s="55"/>
      <c r="D189" s="56"/>
      <c r="E189" s="57"/>
      <c r="G189" s="53" t="s">
        <v>132</v>
      </c>
      <c r="H189" s="54">
        <f>MAPA!A104</f>
        <v>0</v>
      </c>
      <c r="I189" s="55"/>
      <c r="J189" s="56"/>
      <c r="K189" s="57"/>
    </row>
    <row r="190" spans="1:11" ht="9.75" customHeight="1" x14ac:dyDescent="0.2">
      <c r="A190" s="40" t="s">
        <v>133</v>
      </c>
      <c r="B190" s="41">
        <f>MAPA!B103</f>
        <v>0</v>
      </c>
      <c r="C190" s="24"/>
      <c r="D190" s="24"/>
      <c r="E190" s="31"/>
      <c r="G190" s="40" t="s">
        <v>133</v>
      </c>
      <c r="H190" s="41">
        <f>MAPA!B104</f>
        <v>0</v>
      </c>
      <c r="I190" s="24"/>
      <c r="J190" s="24"/>
      <c r="K190" s="31"/>
    </row>
    <row r="191" spans="1:11" ht="9.75" customHeight="1" x14ac:dyDescent="0.2">
      <c r="A191" s="43">
        <f>MAPA!D103</f>
        <v>0</v>
      </c>
      <c r="B191" s="44" t="s">
        <v>134</v>
      </c>
      <c r="C191" s="45" t="s">
        <v>135</v>
      </c>
      <c r="D191" s="44">
        <f>MAPA!C103</f>
        <v>0</v>
      </c>
      <c r="E191" s="31">
        <f>MAPA!G103</f>
        <v>0</v>
      </c>
      <c r="G191" s="43">
        <f>MAPA!D104</f>
        <v>0</v>
      </c>
      <c r="H191" s="44" t="s">
        <v>134</v>
      </c>
      <c r="I191" s="45" t="s">
        <v>135</v>
      </c>
      <c r="J191" s="44">
        <f>MAPA!C104</f>
        <v>0</v>
      </c>
      <c r="K191" s="31">
        <f>MAPA!G104</f>
        <v>0</v>
      </c>
    </row>
    <row r="192" spans="1:11" ht="9.75" customHeight="1" x14ac:dyDescent="0.2">
      <c r="A192" s="46">
        <f>MAPA!E103</f>
        <v>0</v>
      </c>
      <c r="B192" s="44">
        <f>MAPA!F103</f>
        <v>0</v>
      </c>
      <c r="C192" s="24"/>
      <c r="D192" s="24"/>
      <c r="E192" s="31"/>
      <c r="G192" s="46">
        <f>MAPA!E104</f>
        <v>0</v>
      </c>
      <c r="H192" s="44">
        <f>MAPA!F104</f>
        <v>0</v>
      </c>
      <c r="I192" s="24"/>
      <c r="J192" s="24"/>
      <c r="K192" s="31"/>
    </row>
    <row r="193" spans="1:11" ht="9.75" customHeight="1" thickBot="1" x14ac:dyDescent="0.25">
      <c r="A193" s="58" t="s">
        <v>137</v>
      </c>
      <c r="B193" s="59" t="s">
        <v>149</v>
      </c>
      <c r="C193" s="59"/>
      <c r="D193" s="59"/>
      <c r="E193" s="60"/>
      <c r="G193" s="58" t="s">
        <v>137</v>
      </c>
      <c r="H193" s="59" t="s">
        <v>149</v>
      </c>
      <c r="I193" s="59"/>
      <c r="J193" s="59"/>
      <c r="K193" s="60"/>
    </row>
    <row r="194" spans="1:11" ht="9.75" customHeight="1" x14ac:dyDescent="0.2">
      <c r="A194" s="232" t="s">
        <v>136</v>
      </c>
      <c r="B194" s="233"/>
      <c r="C194" s="228" t="str">
        <f>MAPA!A4</f>
        <v xml:space="preserve">DATA : 10/10/2019   </v>
      </c>
      <c r="D194" s="228"/>
      <c r="E194" s="39"/>
      <c r="G194" s="232" t="s">
        <v>136</v>
      </c>
      <c r="H194" s="233"/>
      <c r="I194" s="228" t="str">
        <f>MAPA!A4</f>
        <v xml:space="preserve">DATA : 10/10/2019   </v>
      </c>
      <c r="J194" s="228"/>
      <c r="K194" s="39"/>
    </row>
    <row r="195" spans="1:11" ht="9.75" customHeight="1" x14ac:dyDescent="0.2">
      <c r="A195" s="229" t="s">
        <v>150</v>
      </c>
      <c r="B195" s="230"/>
      <c r="C195" s="230"/>
      <c r="D195" s="230"/>
      <c r="E195" s="231"/>
      <c r="G195" s="229" t="s">
        <v>150</v>
      </c>
      <c r="H195" s="230"/>
      <c r="I195" s="230"/>
      <c r="J195" s="230"/>
      <c r="K195" s="231"/>
    </row>
    <row r="196" spans="1:11" s="34" customFormat="1" ht="9" customHeight="1" x14ac:dyDescent="0.25">
      <c r="A196" s="47" t="s">
        <v>191</v>
      </c>
      <c r="B196" s="48"/>
      <c r="C196" s="48"/>
      <c r="D196" s="48"/>
      <c r="E196" s="61" t="s">
        <v>139</v>
      </c>
      <c r="F196" s="49"/>
      <c r="G196" s="47" t="s">
        <v>191</v>
      </c>
      <c r="H196" s="48"/>
      <c r="I196" s="48"/>
      <c r="J196" s="48"/>
      <c r="K196" s="61" t="s">
        <v>139</v>
      </c>
    </row>
    <row r="197" spans="1:11" s="34" customFormat="1" ht="8.1" customHeight="1" x14ac:dyDescent="0.25">
      <c r="A197" s="50" t="s">
        <v>138</v>
      </c>
      <c r="B197" s="51"/>
      <c r="C197" s="51"/>
      <c r="D197" s="51"/>
      <c r="E197" s="52"/>
      <c r="F197" s="49"/>
      <c r="G197" s="50" t="s">
        <v>138</v>
      </c>
      <c r="H197" s="51"/>
      <c r="I197" s="51"/>
      <c r="J197" s="51"/>
      <c r="K197" s="52"/>
    </row>
    <row r="198" spans="1:11" s="24" customFormat="1" ht="9.75" customHeight="1" x14ac:dyDescent="0.2"/>
    <row r="199" spans="1:11" ht="9.75" customHeight="1" x14ac:dyDescent="0.2">
      <c r="A199" s="24"/>
      <c r="B199" s="24"/>
      <c r="C199" s="24"/>
      <c r="D199" s="24"/>
      <c r="E199" s="24"/>
      <c r="G199" s="24"/>
      <c r="H199" s="24"/>
      <c r="I199" s="24"/>
      <c r="J199" s="24"/>
      <c r="K199" s="24"/>
    </row>
  </sheetData>
  <sheetProtection password="D624" sheet="1" objects="1" scenarios="1"/>
  <mergeCells count="109">
    <mergeCell ref="A194:B194"/>
    <mergeCell ref="C194:D194"/>
    <mergeCell ref="G194:H194"/>
    <mergeCell ref="I194:J194"/>
    <mergeCell ref="A195:E195"/>
    <mergeCell ref="G195:K195"/>
    <mergeCell ref="A183:B183"/>
    <mergeCell ref="C183:D183"/>
    <mergeCell ref="G183:H183"/>
    <mergeCell ref="I183:J183"/>
    <mergeCell ref="A184:E184"/>
    <mergeCell ref="G184:K184"/>
    <mergeCell ref="A172:B172"/>
    <mergeCell ref="C172:D172"/>
    <mergeCell ref="G172:H172"/>
    <mergeCell ref="I172:J172"/>
    <mergeCell ref="A173:E173"/>
    <mergeCell ref="G173:K173"/>
    <mergeCell ref="A161:B161"/>
    <mergeCell ref="C161:D161"/>
    <mergeCell ref="G161:H161"/>
    <mergeCell ref="I161:J161"/>
    <mergeCell ref="A162:E162"/>
    <mergeCell ref="G162:K162"/>
    <mergeCell ref="A150:B150"/>
    <mergeCell ref="C150:D150"/>
    <mergeCell ref="G150:H150"/>
    <mergeCell ref="I150:J150"/>
    <mergeCell ref="A151:E151"/>
    <mergeCell ref="G151:K151"/>
    <mergeCell ref="A139:B139"/>
    <mergeCell ref="C139:D139"/>
    <mergeCell ref="G139:H139"/>
    <mergeCell ref="I139:J139"/>
    <mergeCell ref="A140:E140"/>
    <mergeCell ref="G140:K140"/>
    <mergeCell ref="A128:B128"/>
    <mergeCell ref="C128:D128"/>
    <mergeCell ref="G128:H128"/>
    <mergeCell ref="I128:J128"/>
    <mergeCell ref="A129:E129"/>
    <mergeCell ref="G129:K129"/>
    <mergeCell ref="A117:B117"/>
    <mergeCell ref="C117:D117"/>
    <mergeCell ref="G117:H117"/>
    <mergeCell ref="I117:J117"/>
    <mergeCell ref="A118:E118"/>
    <mergeCell ref="G118:K118"/>
    <mergeCell ref="A106:B106"/>
    <mergeCell ref="C106:D106"/>
    <mergeCell ref="G106:H106"/>
    <mergeCell ref="I106:J106"/>
    <mergeCell ref="A107:E107"/>
    <mergeCell ref="G107:K107"/>
    <mergeCell ref="A95:B95"/>
    <mergeCell ref="C95:D95"/>
    <mergeCell ref="G95:H95"/>
    <mergeCell ref="I95:J95"/>
    <mergeCell ref="A96:E96"/>
    <mergeCell ref="G96:K96"/>
    <mergeCell ref="A84:B84"/>
    <mergeCell ref="C84:D84"/>
    <mergeCell ref="G84:H84"/>
    <mergeCell ref="I84:J84"/>
    <mergeCell ref="A85:E85"/>
    <mergeCell ref="G85:K85"/>
    <mergeCell ref="A73:B73"/>
    <mergeCell ref="C73:D73"/>
    <mergeCell ref="G73:H73"/>
    <mergeCell ref="I73:J73"/>
    <mergeCell ref="A74:E74"/>
    <mergeCell ref="G74:K74"/>
    <mergeCell ref="A62:B62"/>
    <mergeCell ref="C62:D62"/>
    <mergeCell ref="G62:H62"/>
    <mergeCell ref="I62:J62"/>
    <mergeCell ref="A63:E63"/>
    <mergeCell ref="G63:K63"/>
    <mergeCell ref="A51:B51"/>
    <mergeCell ref="C51:D51"/>
    <mergeCell ref="G51:H51"/>
    <mergeCell ref="I51:J51"/>
    <mergeCell ref="A52:E52"/>
    <mergeCell ref="G52:K52"/>
    <mergeCell ref="A40:B40"/>
    <mergeCell ref="C40:D40"/>
    <mergeCell ref="G40:H40"/>
    <mergeCell ref="I40:J40"/>
    <mergeCell ref="A41:E41"/>
    <mergeCell ref="G41:K41"/>
    <mergeCell ref="A29:B29"/>
    <mergeCell ref="C29:D29"/>
    <mergeCell ref="G29:H29"/>
    <mergeCell ref="I29:J29"/>
    <mergeCell ref="A30:E30"/>
    <mergeCell ref="G30:K30"/>
    <mergeCell ref="A18:B18"/>
    <mergeCell ref="C18:D18"/>
    <mergeCell ref="G18:H18"/>
    <mergeCell ref="I18:J18"/>
    <mergeCell ref="A19:E19"/>
    <mergeCell ref="G19:K19"/>
    <mergeCell ref="A8:E8"/>
    <mergeCell ref="G8:K8"/>
    <mergeCell ref="A1:K1"/>
    <mergeCell ref="A7:B7"/>
    <mergeCell ref="C7:D7"/>
    <mergeCell ref="G7:H7"/>
    <mergeCell ref="I7:J7"/>
  </mergeCells>
  <pageMargins left="0.31496062992125984" right="0.31496062992125984" top="0.78740157480314965" bottom="0.78740157480314965" header="0.31496062992125984" footer="0.31496062992125984"/>
  <pageSetup paperSize="9" orientation="portrait" r:id="rId1"/>
  <rowBreaks count="2" manualBreakCount="2">
    <brk id="77" max="16383" man="1"/>
    <brk id="15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selection activeCell="G16" sqref="G16"/>
    </sheetView>
  </sheetViews>
  <sheetFormatPr defaultRowHeight="12.75" x14ac:dyDescent="0.2"/>
  <cols>
    <col min="1" max="2" width="9.140625" style="25"/>
    <col min="3" max="3" width="6.7109375" style="25" customWidth="1"/>
    <col min="4" max="4" width="6.42578125" style="25" customWidth="1"/>
    <col min="5" max="5" width="13.7109375" style="25" customWidth="1"/>
    <col min="6" max="6" width="2.28515625" style="25" customWidth="1"/>
    <col min="7" max="8" width="9.140625" style="25"/>
    <col min="9" max="9" width="6.7109375" style="25" customWidth="1"/>
    <col min="10" max="10" width="0.140625" style="25" customWidth="1"/>
    <col min="11" max="11" width="13.7109375" style="25" customWidth="1"/>
    <col min="12" max="16384" width="9.140625" style="25"/>
  </cols>
  <sheetData>
    <row r="1" spans="1:11" ht="21" customHeight="1" thickBot="1" x14ac:dyDescent="0.25">
      <c r="A1" s="225" t="s">
        <v>145</v>
      </c>
      <c r="B1" s="226"/>
      <c r="C1" s="226"/>
      <c r="D1" s="226"/>
      <c r="E1" s="226"/>
      <c r="F1" s="226"/>
      <c r="G1" s="226"/>
      <c r="H1" s="226"/>
      <c r="I1" s="226"/>
      <c r="J1" s="226"/>
      <c r="K1" s="227"/>
    </row>
    <row r="2" spans="1:11" s="29" customFormat="1" ht="9.75" customHeight="1" x14ac:dyDescent="0.2">
      <c r="A2" s="40" t="s">
        <v>194</v>
      </c>
      <c r="B2" s="41"/>
      <c r="C2" s="24"/>
      <c r="D2" s="42"/>
      <c r="E2" s="31"/>
      <c r="G2" s="40" t="s">
        <v>132</v>
      </c>
      <c r="H2" s="41"/>
      <c r="I2" s="24"/>
      <c r="J2" s="42"/>
      <c r="K2" s="31"/>
    </row>
    <row r="3" spans="1:11" s="29" customFormat="1" ht="9.75" customHeight="1" x14ac:dyDescent="0.2">
      <c r="A3" s="40" t="s">
        <v>195</v>
      </c>
      <c r="B3" s="41"/>
      <c r="C3" s="24"/>
      <c r="D3" s="24"/>
      <c r="E3" s="31"/>
      <c r="G3" s="40" t="s">
        <v>133</v>
      </c>
      <c r="H3" s="41"/>
      <c r="I3" s="24"/>
      <c r="J3" s="24"/>
      <c r="K3" s="31"/>
    </row>
    <row r="4" spans="1:11" s="29" customFormat="1" ht="9.75" customHeight="1" x14ac:dyDescent="0.2">
      <c r="A4" s="43"/>
      <c r="B4" s="44" t="s">
        <v>134</v>
      </c>
      <c r="C4" s="45" t="s">
        <v>135</v>
      </c>
      <c r="D4" s="44" t="s">
        <v>59</v>
      </c>
      <c r="E4" s="31" t="s">
        <v>192</v>
      </c>
      <c r="G4" s="43"/>
      <c r="H4" s="44" t="s">
        <v>134</v>
      </c>
      <c r="I4" s="45" t="s">
        <v>135</v>
      </c>
      <c r="J4" s="44"/>
      <c r="K4" s="31"/>
    </row>
    <row r="5" spans="1:11" s="29" customFormat="1" ht="9.75" customHeight="1" x14ac:dyDescent="0.2">
      <c r="A5" s="46"/>
      <c r="B5" s="44"/>
      <c r="C5" s="24"/>
      <c r="D5" s="24"/>
      <c r="E5" s="31"/>
      <c r="G5" s="46"/>
      <c r="H5" s="44"/>
      <c r="I5" s="24"/>
      <c r="J5" s="24"/>
      <c r="K5" s="31"/>
    </row>
    <row r="6" spans="1:11" s="29" customFormat="1" ht="9.75" customHeight="1" thickBot="1" x14ac:dyDescent="0.25">
      <c r="A6" s="58" t="s">
        <v>137</v>
      </c>
      <c r="B6" s="59" t="s">
        <v>149</v>
      </c>
      <c r="C6" s="59"/>
      <c r="D6" s="59"/>
      <c r="E6" s="60"/>
      <c r="G6" s="58" t="s">
        <v>137</v>
      </c>
      <c r="H6" s="59" t="s">
        <v>149</v>
      </c>
      <c r="I6" s="59"/>
      <c r="J6" s="59"/>
      <c r="K6" s="60"/>
    </row>
    <row r="7" spans="1:11" s="29" customFormat="1" ht="9.75" customHeight="1" x14ac:dyDescent="0.2">
      <c r="A7" s="232" t="s">
        <v>136</v>
      </c>
      <c r="B7" s="233"/>
      <c r="C7" s="228" t="str">
        <f>MAPA!A4</f>
        <v xml:space="preserve">DATA : 10/10/2019   </v>
      </c>
      <c r="D7" s="228"/>
      <c r="E7" s="39"/>
      <c r="G7" s="232" t="s">
        <v>136</v>
      </c>
      <c r="H7" s="233"/>
      <c r="I7" s="228" t="str">
        <f>MAPA!A4</f>
        <v xml:space="preserve">DATA : 10/10/2019   </v>
      </c>
      <c r="J7" s="228"/>
      <c r="K7" s="244"/>
    </row>
    <row r="8" spans="1:11" s="29" customFormat="1" ht="9.75" customHeight="1" x14ac:dyDescent="0.2">
      <c r="A8" s="229" t="s">
        <v>150</v>
      </c>
      <c r="B8" s="230"/>
      <c r="C8" s="230"/>
      <c r="D8" s="230"/>
      <c r="E8" s="231"/>
      <c r="G8" s="229" t="s">
        <v>150</v>
      </c>
      <c r="H8" s="230"/>
      <c r="I8" s="230"/>
      <c r="J8" s="230"/>
      <c r="K8" s="231"/>
    </row>
    <row r="9" spans="1:11" s="34" customFormat="1" ht="9" customHeight="1" x14ac:dyDescent="0.25">
      <c r="A9" s="47" t="s">
        <v>178</v>
      </c>
      <c r="B9" s="48"/>
      <c r="C9" s="48"/>
      <c r="D9" s="48"/>
      <c r="E9" s="61" t="s">
        <v>139</v>
      </c>
      <c r="F9" s="49"/>
      <c r="G9" s="47" t="s">
        <v>178</v>
      </c>
      <c r="H9" s="48"/>
      <c r="I9" s="48"/>
      <c r="J9" s="48"/>
      <c r="K9" s="61" t="s">
        <v>139</v>
      </c>
    </row>
    <row r="10" spans="1:11" s="34" customFormat="1" ht="8.1" customHeight="1" x14ac:dyDescent="0.25">
      <c r="A10" s="50" t="s">
        <v>138</v>
      </c>
      <c r="B10" s="51"/>
      <c r="C10" s="51"/>
      <c r="D10" s="51"/>
      <c r="E10" s="52"/>
      <c r="F10" s="49"/>
      <c r="G10" s="50" t="s">
        <v>138</v>
      </c>
      <c r="H10" s="51"/>
      <c r="I10" s="51"/>
      <c r="J10" s="51"/>
      <c r="K10" s="52"/>
    </row>
    <row r="11" spans="1:11" s="24" customFormat="1" ht="9.75" customHeight="1" x14ac:dyDescent="0.2"/>
    <row r="12" spans="1:11" s="29" customFormat="1" ht="9.75" customHeight="1" thickBot="1" x14ac:dyDescent="0.25">
      <c r="A12" s="24"/>
      <c r="B12" s="24"/>
      <c r="C12" s="24"/>
      <c r="D12" s="24"/>
      <c r="E12" s="24"/>
      <c r="G12" s="24"/>
      <c r="H12" s="24"/>
      <c r="I12" s="24"/>
      <c r="J12" s="24"/>
      <c r="K12" s="24"/>
    </row>
    <row r="13" spans="1:11" s="29" customFormat="1" ht="9.75" customHeight="1" x14ac:dyDescent="0.2">
      <c r="A13" s="53" t="s">
        <v>194</v>
      </c>
      <c r="B13" s="54"/>
      <c r="C13" s="55"/>
      <c r="D13" s="56"/>
      <c r="E13" s="57"/>
      <c r="G13" s="53" t="s">
        <v>132</v>
      </c>
      <c r="H13" s="54"/>
      <c r="I13" s="55"/>
      <c r="J13" s="56"/>
      <c r="K13" s="57"/>
    </row>
    <row r="14" spans="1:11" s="29" customFormat="1" ht="9.75" customHeight="1" x14ac:dyDescent="0.2">
      <c r="A14" s="40"/>
      <c r="B14" s="41"/>
      <c r="C14" s="24"/>
      <c r="D14" s="24"/>
      <c r="E14" s="31"/>
      <c r="G14" s="40" t="s">
        <v>133</v>
      </c>
      <c r="H14" s="41"/>
      <c r="I14" s="24"/>
      <c r="J14" s="24"/>
      <c r="K14" s="31"/>
    </row>
    <row r="15" spans="1:11" s="29" customFormat="1" ht="9.75" customHeight="1" x14ac:dyDescent="0.2">
      <c r="A15" s="43"/>
      <c r="B15" s="44" t="s">
        <v>134</v>
      </c>
      <c r="C15" s="45" t="s">
        <v>135</v>
      </c>
      <c r="D15" s="44" t="s">
        <v>59</v>
      </c>
      <c r="E15" s="31"/>
      <c r="G15" s="43"/>
      <c r="H15" s="44" t="s">
        <v>134</v>
      </c>
      <c r="I15" s="45" t="s">
        <v>135</v>
      </c>
      <c r="J15" s="44"/>
      <c r="K15" s="31"/>
    </row>
    <row r="16" spans="1:11" s="29" customFormat="1" ht="9.75" customHeight="1" x14ac:dyDescent="0.2">
      <c r="A16" s="46"/>
      <c r="B16" s="44"/>
      <c r="C16" s="24"/>
      <c r="D16" s="24"/>
      <c r="E16" s="31"/>
      <c r="G16" s="46"/>
      <c r="H16" s="44"/>
      <c r="I16" s="24"/>
      <c r="J16" s="24"/>
      <c r="K16" s="31"/>
    </row>
    <row r="17" spans="1:11" s="29" customFormat="1" ht="9.75" customHeight="1" thickBot="1" x14ac:dyDescent="0.25">
      <c r="A17" s="58" t="s">
        <v>137</v>
      </c>
      <c r="B17" s="59" t="s">
        <v>149</v>
      </c>
      <c r="C17" s="59"/>
      <c r="D17" s="59"/>
      <c r="E17" s="60"/>
      <c r="G17" s="58" t="s">
        <v>137</v>
      </c>
      <c r="H17" s="59" t="s">
        <v>149</v>
      </c>
      <c r="I17" s="59"/>
      <c r="J17" s="59"/>
      <c r="K17" s="60"/>
    </row>
    <row r="18" spans="1:11" s="29" customFormat="1" ht="9.75" customHeight="1" x14ac:dyDescent="0.2">
      <c r="A18" s="232" t="s">
        <v>136</v>
      </c>
      <c r="B18" s="233"/>
      <c r="C18" s="228" t="str">
        <f>MAPA!A4</f>
        <v xml:space="preserve">DATA : 10/10/2019   </v>
      </c>
      <c r="D18" s="228"/>
      <c r="E18" s="39"/>
      <c r="G18" s="232" t="s">
        <v>136</v>
      </c>
      <c r="H18" s="233"/>
      <c r="I18" s="228" t="str">
        <f>MAPA!A4</f>
        <v xml:space="preserve">DATA : 10/10/2019   </v>
      </c>
      <c r="J18" s="228"/>
      <c r="K18" s="244"/>
    </row>
    <row r="19" spans="1:11" s="29" customFormat="1" ht="9.75" customHeight="1" x14ac:dyDescent="0.2">
      <c r="A19" s="229" t="s">
        <v>150</v>
      </c>
      <c r="B19" s="230"/>
      <c r="C19" s="230"/>
      <c r="D19" s="230"/>
      <c r="E19" s="231"/>
      <c r="G19" s="229" t="s">
        <v>150</v>
      </c>
      <c r="H19" s="230"/>
      <c r="I19" s="230"/>
      <c r="J19" s="230"/>
      <c r="K19" s="231"/>
    </row>
    <row r="20" spans="1:11" s="34" customFormat="1" ht="9" customHeight="1" x14ac:dyDescent="0.25">
      <c r="A20" s="47" t="s">
        <v>178</v>
      </c>
      <c r="B20" s="48"/>
      <c r="C20" s="48"/>
      <c r="D20" s="48"/>
      <c r="E20" s="61" t="s">
        <v>139</v>
      </c>
      <c r="F20" s="49"/>
      <c r="G20" s="47" t="s">
        <v>178</v>
      </c>
      <c r="H20" s="48"/>
      <c r="I20" s="48"/>
      <c r="J20" s="48"/>
      <c r="K20" s="61" t="s">
        <v>139</v>
      </c>
    </row>
    <row r="21" spans="1:11" s="34" customFormat="1" ht="8.1" customHeight="1" x14ac:dyDescent="0.25">
      <c r="A21" s="50" t="s">
        <v>138</v>
      </c>
      <c r="B21" s="51"/>
      <c r="C21" s="51"/>
      <c r="D21" s="51"/>
      <c r="E21" s="52"/>
      <c r="F21" s="49"/>
      <c r="G21" s="50" t="s">
        <v>138</v>
      </c>
      <c r="H21" s="51"/>
      <c r="I21" s="51"/>
      <c r="J21" s="51"/>
      <c r="K21" s="52"/>
    </row>
    <row r="22" spans="1:11" s="24" customFormat="1" ht="9.75" customHeight="1" x14ac:dyDescent="0.2"/>
    <row r="23" spans="1:11" s="29" customFormat="1" ht="9.75" customHeight="1" thickBot="1" x14ac:dyDescent="0.25">
      <c r="A23" s="24"/>
      <c r="B23" s="24"/>
      <c r="C23" s="24"/>
      <c r="D23" s="24"/>
      <c r="E23" s="24"/>
      <c r="G23" s="24"/>
      <c r="H23" s="24"/>
      <c r="I23" s="24"/>
      <c r="J23" s="24"/>
      <c r="K23" s="24"/>
    </row>
    <row r="24" spans="1:11" s="29" customFormat="1" ht="9.75" customHeight="1" x14ac:dyDescent="0.2">
      <c r="A24" s="53" t="s">
        <v>132</v>
      </c>
      <c r="B24" s="54"/>
      <c r="C24" s="55"/>
      <c r="D24" s="56"/>
      <c r="E24" s="57"/>
      <c r="G24" s="53" t="s">
        <v>132</v>
      </c>
      <c r="H24" s="54"/>
      <c r="I24" s="55"/>
      <c r="J24" s="56"/>
      <c r="K24" s="57"/>
    </row>
    <row r="25" spans="1:11" s="29" customFormat="1" ht="9.75" customHeight="1" x14ac:dyDescent="0.2">
      <c r="A25" s="40" t="s">
        <v>133</v>
      </c>
      <c r="B25" s="41"/>
      <c r="C25" s="24"/>
      <c r="D25" s="24"/>
      <c r="E25" s="31"/>
      <c r="G25" s="40" t="s">
        <v>133</v>
      </c>
      <c r="H25" s="41"/>
      <c r="I25" s="24"/>
      <c r="J25" s="24"/>
      <c r="K25" s="31"/>
    </row>
    <row r="26" spans="1:11" s="29" customFormat="1" ht="9.75" customHeight="1" x14ac:dyDescent="0.2">
      <c r="A26" s="43"/>
      <c r="B26" s="44" t="s">
        <v>134</v>
      </c>
      <c r="C26" s="45" t="s">
        <v>135</v>
      </c>
      <c r="D26" s="44"/>
      <c r="E26" s="31"/>
      <c r="G26" s="43"/>
      <c r="H26" s="44" t="s">
        <v>134</v>
      </c>
      <c r="I26" s="45" t="s">
        <v>135</v>
      </c>
      <c r="J26" s="44"/>
      <c r="K26" s="31"/>
    </row>
    <row r="27" spans="1:11" s="29" customFormat="1" ht="9.75" customHeight="1" x14ac:dyDescent="0.2">
      <c r="A27" s="46"/>
      <c r="B27" s="44"/>
      <c r="C27" s="24"/>
      <c r="D27" s="24"/>
      <c r="E27" s="31"/>
      <c r="G27" s="46"/>
      <c r="H27" s="44"/>
      <c r="I27" s="24"/>
      <c r="J27" s="24"/>
      <c r="K27" s="31"/>
    </row>
    <row r="28" spans="1:11" s="29" customFormat="1" ht="9.75" customHeight="1" thickBot="1" x14ac:dyDescent="0.25">
      <c r="A28" s="58" t="s">
        <v>137</v>
      </c>
      <c r="B28" s="59" t="s">
        <v>149</v>
      </c>
      <c r="C28" s="59"/>
      <c r="D28" s="59"/>
      <c r="E28" s="60"/>
      <c r="G28" s="58" t="s">
        <v>137</v>
      </c>
      <c r="H28" s="59" t="s">
        <v>149</v>
      </c>
      <c r="I28" s="59"/>
      <c r="J28" s="59"/>
      <c r="K28" s="60"/>
    </row>
    <row r="29" spans="1:11" s="29" customFormat="1" ht="9.75" customHeight="1" x14ac:dyDescent="0.2">
      <c r="A29" s="232" t="s">
        <v>136</v>
      </c>
      <c r="B29" s="233"/>
      <c r="C29" s="228" t="str">
        <f>MAPA!A4</f>
        <v xml:space="preserve">DATA : 10/10/2019   </v>
      </c>
      <c r="D29" s="228"/>
      <c r="E29" s="39"/>
      <c r="G29" s="232" t="s">
        <v>136</v>
      </c>
      <c r="H29" s="233"/>
      <c r="I29" s="228" t="str">
        <f>MAPA!A4</f>
        <v xml:space="preserve">DATA : 10/10/2019   </v>
      </c>
      <c r="J29" s="228"/>
      <c r="K29" s="244"/>
    </row>
    <row r="30" spans="1:11" s="29" customFormat="1" ht="9.75" customHeight="1" x14ac:dyDescent="0.2">
      <c r="A30" s="229" t="s">
        <v>150</v>
      </c>
      <c r="B30" s="230"/>
      <c r="C30" s="230"/>
      <c r="D30" s="230"/>
      <c r="E30" s="231"/>
      <c r="G30" s="229" t="s">
        <v>150</v>
      </c>
      <c r="H30" s="230"/>
      <c r="I30" s="230"/>
      <c r="J30" s="230"/>
      <c r="K30" s="231"/>
    </row>
    <row r="31" spans="1:11" s="34" customFormat="1" ht="9" customHeight="1" x14ac:dyDescent="0.25">
      <c r="A31" s="47" t="s">
        <v>178</v>
      </c>
      <c r="B31" s="48"/>
      <c r="C31" s="48"/>
      <c r="D31" s="48"/>
      <c r="E31" s="61" t="s">
        <v>139</v>
      </c>
      <c r="F31" s="49"/>
      <c r="G31" s="47" t="s">
        <v>178</v>
      </c>
      <c r="H31" s="48"/>
      <c r="I31" s="48"/>
      <c r="J31" s="48"/>
      <c r="K31" s="61" t="s">
        <v>139</v>
      </c>
    </row>
    <row r="32" spans="1:11" s="34" customFormat="1" ht="8.1" customHeight="1" x14ac:dyDescent="0.25">
      <c r="A32" s="50" t="s">
        <v>138</v>
      </c>
      <c r="B32" s="51"/>
      <c r="C32" s="51"/>
      <c r="D32" s="51"/>
      <c r="E32" s="52"/>
      <c r="F32" s="49"/>
      <c r="G32" s="50" t="s">
        <v>138</v>
      </c>
      <c r="H32" s="51"/>
      <c r="I32" s="51"/>
      <c r="J32" s="51"/>
      <c r="K32" s="52"/>
    </row>
    <row r="33" spans="1:12" s="24" customFormat="1" ht="9.75" customHeight="1" x14ac:dyDescent="0.2"/>
    <row r="34" spans="1:12" s="29" customFormat="1" ht="9.75" customHeight="1" thickBot="1" x14ac:dyDescent="0.25">
      <c r="A34" s="24"/>
      <c r="B34" s="24"/>
      <c r="C34" s="24"/>
      <c r="D34" s="24"/>
      <c r="E34" s="24"/>
      <c r="G34" s="24"/>
      <c r="H34" s="24"/>
      <c r="I34" s="24"/>
      <c r="J34" s="24"/>
      <c r="K34" s="24"/>
    </row>
    <row r="35" spans="1:12" s="29" customFormat="1" ht="9.75" customHeight="1" x14ac:dyDescent="0.2">
      <c r="A35" s="53" t="s">
        <v>132</v>
      </c>
      <c r="B35" s="54"/>
      <c r="C35" s="55"/>
      <c r="D35" s="56"/>
      <c r="E35" s="57"/>
      <c r="G35" s="53" t="s">
        <v>132</v>
      </c>
      <c r="H35" s="54"/>
      <c r="I35" s="55"/>
      <c r="J35" s="56"/>
      <c r="K35" s="57"/>
    </row>
    <row r="36" spans="1:12" s="29" customFormat="1" ht="9.75" customHeight="1" x14ac:dyDescent="0.2">
      <c r="A36" s="40" t="s">
        <v>133</v>
      </c>
      <c r="B36" s="41"/>
      <c r="C36" s="24"/>
      <c r="D36" s="24"/>
      <c r="E36" s="31"/>
      <c r="G36" s="40" t="s">
        <v>133</v>
      </c>
      <c r="H36" s="41"/>
      <c r="I36" s="24"/>
      <c r="J36" s="24"/>
      <c r="K36" s="31"/>
    </row>
    <row r="37" spans="1:12" s="29" customFormat="1" ht="9.75" customHeight="1" x14ac:dyDescent="0.2">
      <c r="A37" s="43"/>
      <c r="B37" s="44" t="s">
        <v>134</v>
      </c>
      <c r="C37" s="45" t="s">
        <v>135</v>
      </c>
      <c r="D37" s="44"/>
      <c r="E37" s="31"/>
      <c r="G37" s="43"/>
      <c r="H37" s="44" t="s">
        <v>134</v>
      </c>
      <c r="I37" s="45" t="s">
        <v>135</v>
      </c>
      <c r="J37" s="44"/>
      <c r="K37" s="31"/>
    </row>
    <row r="38" spans="1:12" s="29" customFormat="1" ht="9.75" customHeight="1" x14ac:dyDescent="0.2">
      <c r="A38" s="46"/>
      <c r="B38" s="44"/>
      <c r="C38" s="24"/>
      <c r="D38" s="24"/>
      <c r="E38" s="31"/>
      <c r="G38" s="46"/>
      <c r="H38" s="44"/>
      <c r="I38" s="24"/>
      <c r="J38" s="24"/>
      <c r="K38" s="31"/>
    </row>
    <row r="39" spans="1:12" s="29" customFormat="1" ht="9.75" customHeight="1" thickBot="1" x14ac:dyDescent="0.25">
      <c r="A39" s="58" t="s">
        <v>137</v>
      </c>
      <c r="B39" s="59" t="s">
        <v>149</v>
      </c>
      <c r="C39" s="59"/>
      <c r="D39" s="59"/>
      <c r="E39" s="60"/>
      <c r="G39" s="58" t="s">
        <v>137</v>
      </c>
      <c r="H39" s="59" t="s">
        <v>149</v>
      </c>
      <c r="I39" s="59"/>
      <c r="J39" s="59"/>
      <c r="K39" s="60"/>
      <c r="L39" s="24"/>
    </row>
    <row r="40" spans="1:12" s="29" customFormat="1" ht="9.75" customHeight="1" x14ac:dyDescent="0.2">
      <c r="A40" s="232" t="s">
        <v>136</v>
      </c>
      <c r="B40" s="233"/>
      <c r="C40" s="228" t="str">
        <f>MAPA!A4</f>
        <v xml:space="preserve">DATA : 10/10/2019   </v>
      </c>
      <c r="D40" s="228"/>
      <c r="E40" s="39"/>
      <c r="G40" s="232" t="s">
        <v>136</v>
      </c>
      <c r="H40" s="233"/>
      <c r="I40" s="228" t="str">
        <f>MAPA!A4</f>
        <v xml:space="preserve">DATA : 10/10/2019   </v>
      </c>
      <c r="J40" s="228"/>
      <c r="K40" s="228"/>
      <c r="L40" s="245"/>
    </row>
    <row r="41" spans="1:12" s="29" customFormat="1" ht="9.75" customHeight="1" x14ac:dyDescent="0.2">
      <c r="A41" s="229" t="s">
        <v>150</v>
      </c>
      <c r="B41" s="230"/>
      <c r="C41" s="230"/>
      <c r="D41" s="230"/>
      <c r="E41" s="231"/>
      <c r="G41" s="229" t="s">
        <v>150</v>
      </c>
      <c r="H41" s="230"/>
      <c r="I41" s="230"/>
      <c r="J41" s="230"/>
      <c r="K41" s="231"/>
    </row>
    <row r="42" spans="1:12" s="34" customFormat="1" ht="9" customHeight="1" x14ac:dyDescent="0.25">
      <c r="A42" s="47" t="s">
        <v>178</v>
      </c>
      <c r="B42" s="48"/>
      <c r="C42" s="48"/>
      <c r="D42" s="48"/>
      <c r="E42" s="61" t="s">
        <v>139</v>
      </c>
      <c r="F42" s="49"/>
      <c r="G42" s="47" t="s">
        <v>178</v>
      </c>
      <c r="H42" s="48"/>
      <c r="I42" s="48"/>
      <c r="J42" s="48"/>
      <c r="K42" s="61" t="s">
        <v>139</v>
      </c>
    </row>
    <row r="43" spans="1:12" s="34" customFormat="1" ht="8.1" customHeight="1" x14ac:dyDescent="0.25">
      <c r="A43" s="50" t="s">
        <v>138</v>
      </c>
      <c r="B43" s="51"/>
      <c r="C43" s="51"/>
      <c r="D43" s="51"/>
      <c r="E43" s="52"/>
      <c r="F43" s="49"/>
      <c r="G43" s="50" t="s">
        <v>138</v>
      </c>
      <c r="H43" s="51"/>
      <c r="I43" s="51"/>
      <c r="J43" s="51"/>
      <c r="K43" s="52"/>
    </row>
    <row r="44" spans="1:12" s="24" customFormat="1" ht="9.75" customHeight="1" x14ac:dyDescent="0.2"/>
    <row r="45" spans="1:12" ht="9.9499999999999993" customHeight="1" thickBot="1" x14ac:dyDescent="0.25">
      <c r="A45" s="26"/>
      <c r="B45" s="29"/>
      <c r="C45" s="26"/>
      <c r="D45" s="26"/>
      <c r="E45" s="26"/>
      <c r="G45" s="26"/>
      <c r="H45" s="26"/>
      <c r="I45" s="26"/>
      <c r="J45" s="26"/>
      <c r="K45" s="26"/>
    </row>
    <row r="46" spans="1:12" x14ac:dyDescent="0.2">
      <c r="A46" s="53" t="s">
        <v>132</v>
      </c>
      <c r="B46" s="54"/>
      <c r="C46" s="55"/>
      <c r="D46" s="56"/>
      <c r="E46" s="57"/>
      <c r="F46" s="29"/>
      <c r="G46" s="53" t="s">
        <v>194</v>
      </c>
      <c r="H46" s="54"/>
      <c r="I46" s="55"/>
      <c r="J46" s="56"/>
      <c r="K46" s="57"/>
    </row>
    <row r="47" spans="1:12" x14ac:dyDescent="0.2">
      <c r="A47" s="40" t="s">
        <v>133</v>
      </c>
      <c r="B47" s="41"/>
      <c r="C47" s="24"/>
      <c r="D47" s="24"/>
      <c r="E47" s="31"/>
      <c r="F47" s="29"/>
      <c r="G47" s="40" t="s">
        <v>133</v>
      </c>
      <c r="H47" s="41"/>
      <c r="I47" s="24"/>
      <c r="J47" s="24"/>
      <c r="K47" s="31"/>
    </row>
    <row r="48" spans="1:12" x14ac:dyDescent="0.2">
      <c r="A48" s="43"/>
      <c r="B48" s="44" t="s">
        <v>134</v>
      </c>
      <c r="C48" s="45" t="s">
        <v>135</v>
      </c>
      <c r="D48" s="44"/>
      <c r="E48" s="31"/>
      <c r="F48" s="29"/>
      <c r="G48" s="43"/>
      <c r="H48" s="44" t="s">
        <v>134</v>
      </c>
      <c r="I48" s="45" t="s">
        <v>135</v>
      </c>
      <c r="J48" s="44"/>
      <c r="K48" s="31"/>
    </row>
    <row r="49" spans="1:11" x14ac:dyDescent="0.2">
      <c r="A49" s="46"/>
      <c r="B49" s="44"/>
      <c r="C49" s="24"/>
      <c r="D49" s="24"/>
      <c r="E49" s="31"/>
      <c r="F49" s="29"/>
      <c r="G49" s="46"/>
      <c r="H49" s="133"/>
      <c r="I49" s="24"/>
      <c r="J49" s="24"/>
      <c r="K49" s="31"/>
    </row>
    <row r="50" spans="1:11" ht="13.5" thickBot="1" x14ac:dyDescent="0.25">
      <c r="A50" s="58" t="s">
        <v>137</v>
      </c>
      <c r="B50" s="59" t="s">
        <v>149</v>
      </c>
      <c r="C50" s="59"/>
      <c r="D50" s="59"/>
      <c r="E50" s="60"/>
      <c r="F50" s="29"/>
      <c r="G50" s="58" t="s">
        <v>137</v>
      </c>
      <c r="H50" s="59" t="s">
        <v>149</v>
      </c>
      <c r="I50" s="59"/>
      <c r="J50" s="59"/>
      <c r="K50" s="60"/>
    </row>
    <row r="51" spans="1:11" ht="8.25" customHeight="1" x14ac:dyDescent="0.2">
      <c r="A51" s="232" t="s">
        <v>136</v>
      </c>
      <c r="B51" s="233"/>
      <c r="C51" s="228" t="str">
        <f>MAPA!A4</f>
        <v xml:space="preserve">DATA : 10/10/2019   </v>
      </c>
      <c r="D51" s="228"/>
      <c r="E51" s="39"/>
      <c r="F51" s="29"/>
      <c r="G51" s="232" t="s">
        <v>136</v>
      </c>
      <c r="H51" s="233"/>
      <c r="I51" s="228" t="str">
        <f>MAPA!A4</f>
        <v xml:space="preserve">DATA : 10/10/2019   </v>
      </c>
      <c r="J51" s="228"/>
      <c r="K51" s="244"/>
    </row>
    <row r="52" spans="1:11" ht="10.5" customHeight="1" x14ac:dyDescent="0.2">
      <c r="A52" s="229" t="s">
        <v>150</v>
      </c>
      <c r="B52" s="230"/>
      <c r="C52" s="230"/>
      <c r="D52" s="230"/>
      <c r="E52" s="231"/>
      <c r="F52" s="29"/>
      <c r="G52" s="229" t="s">
        <v>150</v>
      </c>
      <c r="H52" s="230"/>
      <c r="I52" s="230"/>
      <c r="J52" s="230"/>
      <c r="K52" s="231"/>
    </row>
    <row r="53" spans="1:11" s="29" customFormat="1" ht="9.9499999999999993" customHeight="1" x14ac:dyDescent="0.2">
      <c r="A53" s="47" t="s">
        <v>178</v>
      </c>
      <c r="B53" s="48"/>
      <c r="C53" s="48"/>
      <c r="D53" s="48"/>
      <c r="E53" s="61" t="s">
        <v>139</v>
      </c>
      <c r="F53" s="49"/>
      <c r="G53" s="47" t="s">
        <v>178</v>
      </c>
      <c r="H53" s="48"/>
      <c r="I53" s="48"/>
      <c r="J53" s="48"/>
      <c r="K53" s="61" t="s">
        <v>139</v>
      </c>
    </row>
    <row r="54" spans="1:11" s="29" customFormat="1" ht="9.9499999999999993" customHeight="1" x14ac:dyDescent="0.2">
      <c r="A54" s="50" t="s">
        <v>138</v>
      </c>
      <c r="B54" s="51"/>
      <c r="C54" s="51"/>
      <c r="D54" s="51"/>
      <c r="E54" s="52"/>
      <c r="F54" s="49"/>
      <c r="G54" s="50" t="s">
        <v>138</v>
      </c>
      <c r="H54" s="51"/>
      <c r="I54" s="51"/>
      <c r="J54" s="51"/>
      <c r="K54" s="52"/>
    </row>
    <row r="55" spans="1:11" x14ac:dyDescent="0.2">
      <c r="A55" s="26"/>
      <c r="B55" s="26"/>
      <c r="C55" s="26"/>
      <c r="D55" s="26"/>
      <c r="E55" s="26"/>
      <c r="G55" s="26"/>
      <c r="H55" s="26"/>
      <c r="I55" s="26"/>
      <c r="J55" s="26"/>
      <c r="K55" s="26"/>
    </row>
  </sheetData>
  <mergeCells count="31">
    <mergeCell ref="A51:B51"/>
    <mergeCell ref="C51:D51"/>
    <mergeCell ref="G51:H51"/>
    <mergeCell ref="A52:E52"/>
    <mergeCell ref="G52:K52"/>
    <mergeCell ref="I51:K51"/>
    <mergeCell ref="A40:B40"/>
    <mergeCell ref="C40:D40"/>
    <mergeCell ref="G40:H40"/>
    <mergeCell ref="A41:E41"/>
    <mergeCell ref="G41:K41"/>
    <mergeCell ref="I40:L40"/>
    <mergeCell ref="A29:B29"/>
    <mergeCell ref="C29:D29"/>
    <mergeCell ref="G29:H29"/>
    <mergeCell ref="A30:E30"/>
    <mergeCell ref="G30:K30"/>
    <mergeCell ref="I29:K29"/>
    <mergeCell ref="A18:B18"/>
    <mergeCell ref="C18:D18"/>
    <mergeCell ref="G18:H18"/>
    <mergeCell ref="A19:E19"/>
    <mergeCell ref="G19:K19"/>
    <mergeCell ref="I18:K18"/>
    <mergeCell ref="A8:E8"/>
    <mergeCell ref="G8:K8"/>
    <mergeCell ref="A1:K1"/>
    <mergeCell ref="A7:B7"/>
    <mergeCell ref="C7:D7"/>
    <mergeCell ref="G7:H7"/>
    <mergeCell ref="I7:K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9" sqref="K1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MAPA</vt:lpstr>
      <vt:lpstr>Protocolo de Entrega</vt:lpstr>
      <vt:lpstr>Estatística</vt:lpstr>
      <vt:lpstr>Etiquetas UTIP</vt:lpstr>
      <vt:lpstr>Etiquetas PED</vt:lpstr>
      <vt:lpstr>Etiquetas CTI Neo</vt:lpstr>
      <vt:lpstr>Etiquetas AC</vt:lpstr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jeniffer.araujo</dc:creator>
  <cp:lastModifiedBy>ana.hirtz</cp:lastModifiedBy>
  <cp:lastPrinted>2019-10-10T08:47:24Z</cp:lastPrinted>
  <dcterms:created xsi:type="dcterms:W3CDTF">2019-02-19T15:29:43Z</dcterms:created>
  <dcterms:modified xsi:type="dcterms:W3CDTF">2019-10-10T08:48:07Z</dcterms:modified>
</cp:coreProperties>
</file>